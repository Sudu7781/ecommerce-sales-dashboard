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udar\Downloads\"/>
    </mc:Choice>
  </mc:AlternateContent>
  <xr:revisionPtr revIDLastSave="0" documentId="13_ncr:1_{C82BE8F7-A296-4BF7-8132-2E5AA96F8508}" xr6:coauthVersionLast="47" xr6:coauthVersionMax="47" xr10:uidLastSave="{00000000-0000-0000-0000-000000000000}"/>
  <bookViews>
    <workbookView xWindow="-108" yWindow="-108" windowWidth="23256" windowHeight="12456" firstSheet="2" activeTab="7" xr2:uid="{00000000-000D-0000-FFFF-FFFF00000000}"/>
  </bookViews>
  <sheets>
    <sheet name="Category performance" sheetId="4" r:id="rId1"/>
    <sheet name="Region wise Sales&amp; profits" sheetId="5" r:id="rId2"/>
    <sheet name="Top 10 products" sheetId="6" r:id="rId3"/>
    <sheet name="Payment mode" sheetId="7" r:id="rId4"/>
    <sheet name="Sales_Data" sheetId="1" r:id="rId5"/>
    <sheet name="Sheet6" sheetId="8" r:id="rId6"/>
    <sheet name="Monthly_Sales" sheetId="3" r:id="rId7"/>
    <sheet name="Dashboard" sheetId="9" r:id="rId8"/>
  </sheets>
  <definedNames>
    <definedName name="NativeTimeline_Order_Date">#N/A</definedName>
    <definedName name="_xlnm.Print_Area" localSheetId="7">Dashboard!$A$1:$U$56</definedName>
    <definedName name="Slicer_Category">#N/A</definedName>
    <definedName name="Slicer_Payment_Mode">#N/A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9" l="1"/>
  <c r="N5" i="9"/>
  <c r="L5" i="9"/>
  <c r="I5" i="9"/>
  <c r="C5" i="9"/>
  <c r="B9" i="8"/>
  <c r="B8" i="8"/>
  <c r="B7" i="8"/>
  <c r="B6" i="8"/>
  <c r="B5" i="8"/>
  <c r="B4" i="8"/>
</calcChain>
</file>

<file path=xl/sharedStrings.xml><?xml version="1.0" encoding="utf-8"?>
<sst xmlns="http://schemas.openxmlformats.org/spreadsheetml/2006/main" count="4097" uniqueCount="639">
  <si>
    <t>Order ID</t>
  </si>
  <si>
    <t>Order Date</t>
  </si>
  <si>
    <t>Customer Name</t>
  </si>
  <si>
    <t>Region</t>
  </si>
  <si>
    <t>State</t>
  </si>
  <si>
    <t>City</t>
  </si>
  <si>
    <t>Category</t>
  </si>
  <si>
    <t>Product</t>
  </si>
  <si>
    <t>Quantity</t>
  </si>
  <si>
    <t>Unit Price</t>
  </si>
  <si>
    <t>Sales</t>
  </si>
  <si>
    <t>Cost</t>
  </si>
  <si>
    <t>Profit</t>
  </si>
  <si>
    <t>Payment Mode</t>
  </si>
  <si>
    <t>ORD0001</t>
  </si>
  <si>
    <t>Kavya Reddy</t>
  </si>
  <si>
    <t>North</t>
  </si>
  <si>
    <t>Delhi</t>
  </si>
  <si>
    <t>New Delhi</t>
  </si>
  <si>
    <t>Home &amp; Kitchen</t>
  </si>
  <si>
    <t>Air Fryer</t>
  </si>
  <si>
    <t>UPI</t>
  </si>
  <si>
    <t>ORD0002</t>
  </si>
  <si>
    <t>Aditya Kumar</t>
  </si>
  <si>
    <t>West</t>
  </si>
  <si>
    <t>Maharashtra</t>
  </si>
  <si>
    <t>Mumbai</t>
  </si>
  <si>
    <t>Electronics</t>
  </si>
  <si>
    <t>Laptop</t>
  </si>
  <si>
    <t>Wallet</t>
  </si>
  <si>
    <t>ORD0003</t>
  </si>
  <si>
    <t>Meera Kulkarni</t>
  </si>
  <si>
    <t>Gujarat</t>
  </si>
  <si>
    <t>Ahmedabad</t>
  </si>
  <si>
    <t>Clothing</t>
  </si>
  <si>
    <t>Shoes</t>
  </si>
  <si>
    <t>Debit Card</t>
  </si>
  <si>
    <t>ORD0004</t>
  </si>
  <si>
    <t>Isha Nair</t>
  </si>
  <si>
    <t>South</t>
  </si>
  <si>
    <t>Tamil Nadu</t>
  </si>
  <si>
    <t>Chennai</t>
  </si>
  <si>
    <t>Sports</t>
  </si>
  <si>
    <t>Running Shoes</t>
  </si>
  <si>
    <t>Net Banking</t>
  </si>
  <si>
    <t>ORD0005</t>
  </si>
  <si>
    <t>Simran Kaur</t>
  </si>
  <si>
    <t>Rajasthan</t>
  </si>
  <si>
    <t>Jaipur</t>
  </si>
  <si>
    <t>Jacket</t>
  </si>
  <si>
    <t>ORD0006</t>
  </si>
  <si>
    <t>Priya Singh</t>
  </si>
  <si>
    <t>Karnataka</t>
  </si>
  <si>
    <t>Bengaluru</t>
  </si>
  <si>
    <t>COD</t>
  </si>
  <si>
    <t>ORD0007</t>
  </si>
  <si>
    <t>Rahul Verma</t>
  </si>
  <si>
    <t>Goa</t>
  </si>
  <si>
    <t>Panaji</t>
  </si>
  <si>
    <t>Wireless Earbuds</t>
  </si>
  <si>
    <t>ORD0008</t>
  </si>
  <si>
    <t>Smart Watch</t>
  </si>
  <si>
    <t>Credit Card</t>
  </si>
  <si>
    <t>ORD0009</t>
  </si>
  <si>
    <t>Nikhil Yadav</t>
  </si>
  <si>
    <t>East</t>
  </si>
  <si>
    <t>West Bengal</t>
  </si>
  <si>
    <t>Kolkata</t>
  </si>
  <si>
    <t>Smartphone</t>
  </si>
  <si>
    <t>ORD0010</t>
  </si>
  <si>
    <t>Kerala</t>
  </si>
  <si>
    <t>Kochi</t>
  </si>
  <si>
    <t>ORD0011</t>
  </si>
  <si>
    <t>Udaipur</t>
  </si>
  <si>
    <t>Jeans</t>
  </si>
  <si>
    <t>ORD0012</t>
  </si>
  <si>
    <t>Vikram Shah</t>
  </si>
  <si>
    <t>Bedsheet</t>
  </si>
  <si>
    <t>ORD0013</t>
  </si>
  <si>
    <t>Aarav Sharma</t>
  </si>
  <si>
    <t>Haryana</t>
  </si>
  <si>
    <t>Gurugram</t>
  </si>
  <si>
    <t>Beauty</t>
  </si>
  <si>
    <t>Lipstick</t>
  </si>
  <si>
    <t>ORD0014</t>
  </si>
  <si>
    <t>ORD0015</t>
  </si>
  <si>
    <t>Pooja Mehta</t>
  </si>
  <si>
    <t>T-Shirt</t>
  </si>
  <si>
    <t>ORD0016</t>
  </si>
  <si>
    <t>Rohan Deshmukh</t>
  </si>
  <si>
    <t>ORD0017</t>
  </si>
  <si>
    <t>Bluetooth Speaker</t>
  </si>
  <si>
    <t>ORD0018</t>
  </si>
  <si>
    <t>Karan Malhotra</t>
  </si>
  <si>
    <t>Backpack</t>
  </si>
  <si>
    <t>ORD0019</t>
  </si>
  <si>
    <t>ORD0020</t>
  </si>
  <si>
    <t>Telangana</t>
  </si>
  <si>
    <t>Hyderabad</t>
  </si>
  <si>
    <t>ORD0021</t>
  </si>
  <si>
    <t>Serum</t>
  </si>
  <si>
    <t>ORD0022</t>
  </si>
  <si>
    <t>Sahil Khan</t>
  </si>
  <si>
    <t>ORD0023</t>
  </si>
  <si>
    <t>ORD0024</t>
  </si>
  <si>
    <t>Arjun Rao</t>
  </si>
  <si>
    <t>Football</t>
  </si>
  <si>
    <t>ORD0025</t>
  </si>
  <si>
    <t>ORD0026</t>
  </si>
  <si>
    <t>ORD0027</t>
  </si>
  <si>
    <t>ORD0028</t>
  </si>
  <si>
    <t>Badminton Racket</t>
  </si>
  <si>
    <t>ORD0029</t>
  </si>
  <si>
    <t>Odisha</t>
  </si>
  <si>
    <t>Bhubaneswar</t>
  </si>
  <si>
    <t>ORD0030</t>
  </si>
  <si>
    <t>ORD0031</t>
  </si>
  <si>
    <t>Punjab</t>
  </si>
  <si>
    <t>Ludhiana</t>
  </si>
  <si>
    <t>ORD0032</t>
  </si>
  <si>
    <t>Cricket Bat</t>
  </si>
  <si>
    <t>ORD0033</t>
  </si>
  <si>
    <t>Riya Das</t>
  </si>
  <si>
    <t>Bihar</t>
  </si>
  <si>
    <t>Patna</t>
  </si>
  <si>
    <t>ORD0034</t>
  </si>
  <si>
    <t>Facewash</t>
  </si>
  <si>
    <t>ORD0035</t>
  </si>
  <si>
    <t>ORD0036</t>
  </si>
  <si>
    <t>ORD0037</t>
  </si>
  <si>
    <t>ORD0038</t>
  </si>
  <si>
    <t>Assam</t>
  </si>
  <si>
    <t>Guwahati</t>
  </si>
  <si>
    <t>ORD0039</t>
  </si>
  <si>
    <t>Neha Gupta</t>
  </si>
  <si>
    <t>Body Lotion</t>
  </si>
  <si>
    <t>ORD0040</t>
  </si>
  <si>
    <t>ORD0041</t>
  </si>
  <si>
    <t>ORD0042</t>
  </si>
  <si>
    <t>Aman Jain</t>
  </si>
  <si>
    <t>ORD0043</t>
  </si>
  <si>
    <t>ORD0044</t>
  </si>
  <si>
    <t>ORD0045</t>
  </si>
  <si>
    <t>ORD0046</t>
  </si>
  <si>
    <t>Sneha Joshi</t>
  </si>
  <si>
    <t>ORD0047</t>
  </si>
  <si>
    <t>ORD0048</t>
  </si>
  <si>
    <t>Mixer Grinder</t>
  </si>
  <si>
    <t>ORD0049</t>
  </si>
  <si>
    <t>ORD0050</t>
  </si>
  <si>
    <t>ORD0051</t>
  </si>
  <si>
    <t>Water Bottle</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</si>
  <si>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</si>
  <si>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</si>
  <si>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</si>
  <si>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</si>
  <si>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</si>
  <si>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</si>
  <si>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</si>
  <si>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</si>
  <si>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</si>
  <si>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</si>
  <si>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</si>
  <si>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</si>
  <si>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</si>
  <si>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</si>
  <si>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</si>
  <si>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</si>
  <si>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</si>
  <si>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</si>
  <si>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</si>
  <si>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Cookware Set</t>
  </si>
  <si>
    <t>ORD0071</t>
  </si>
  <si>
    <t>ORD0072</t>
  </si>
  <si>
    <t>ORD0073</t>
  </si>
  <si>
    <t>ORD0074</t>
  </si>
  <si>
    <t>ORD0075</t>
  </si>
  <si>
    <t>ORD0076</t>
  </si>
  <si>
    <t>ORD0077</t>
  </si>
  <si>
    <t>ORD0078</t>
  </si>
  <si>
    <t>ORD0079</t>
  </si>
  <si>
    <t>ORD0080</t>
  </si>
  <si>
    <t>ORD0081</t>
  </si>
  <si>
    <t>ORD0082</t>
  </si>
  <si>
    <t>ORD0083</t>
  </si>
  <si>
    <t>ORD0084</t>
  </si>
  <si>
    <t>ORD0085</t>
  </si>
  <si>
    <t>Yoga Mat</t>
  </si>
  <si>
    <t>ORD0086</t>
  </si>
  <si>
    <t>ORD0087</t>
  </si>
  <si>
    <t>ORD0088</t>
  </si>
  <si>
    <t>ORD0089</t>
  </si>
  <si>
    <t>ORD0090</t>
  </si>
  <si>
    <t>ORD0091</t>
  </si>
  <si>
    <t>ORD0092</t>
  </si>
  <si>
    <t>ORD0093</t>
  </si>
  <si>
    <t>ORD0094</t>
  </si>
  <si>
    <t>ORD0095</t>
  </si>
  <si>
    <t>ORD0096</t>
  </si>
  <si>
    <t>ORD0097</t>
  </si>
  <si>
    <t>Perfume</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</si>
  <si>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</si>
  <si>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</si>
  <si>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</si>
  <si>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</si>
  <si>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</si>
  <si>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</si>
  <si>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</si>
  <si>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</si>
  <si>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</si>
  <si>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</si>
  <si>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</si>
  <si>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</si>
  <si>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</si>
  <si>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</si>
  <si>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</si>
  <si>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</si>
  <si>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</si>
  <si>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</si>
  <si>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</si>
  <si>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</si>
  <si>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</si>
  <si>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</si>
  <si>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</si>
  <si>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</si>
  <si>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</si>
  <si>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</si>
  <si>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</si>
  <si>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</si>
  <si>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</si>
  <si>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</si>
  <si>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</si>
  <si>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</si>
  <si>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</si>
  <si>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</si>
  <si>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</si>
  <si>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</si>
  <si>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</si>
  <si>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</si>
  <si>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</si>
  <si>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</si>
  <si>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</si>
  <si>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</si>
  <si>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</si>
  <si>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</si>
  <si>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</si>
  <si>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</si>
  <si>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</si>
  <si>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</si>
  <si>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</si>
  <si>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</si>
  <si>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</si>
  <si>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</si>
  <si>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</si>
  <si>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</si>
  <si>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</si>
  <si>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</si>
  <si>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</si>
  <si>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</si>
  <si>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</si>
  <si>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</si>
  <si>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</si>
  <si>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</si>
  <si>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</si>
  <si>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</si>
  <si>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</si>
  <si>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</si>
  <si>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</si>
  <si>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</si>
  <si>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Ananya Patil</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</si>
  <si>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</si>
  <si>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</si>
  <si>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</si>
  <si>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</si>
  <si>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</si>
  <si>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</si>
  <si>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</si>
  <si>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</si>
  <si>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</si>
  <si>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</si>
  <si>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</si>
  <si>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</si>
  <si>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</si>
  <si>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</si>
  <si>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</si>
  <si>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</si>
  <si>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</si>
  <si>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</si>
  <si>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</si>
  <si>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</si>
  <si>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</si>
  <si>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</si>
  <si>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</si>
  <si>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</si>
  <si>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</si>
  <si>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</si>
  <si>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</si>
  <si>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</si>
  <si>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</si>
  <si>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</si>
  <si>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</si>
  <si>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</si>
  <si>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</si>
  <si>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</si>
  <si>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</si>
  <si>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</si>
  <si>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</si>
  <si>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</si>
  <si>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</si>
  <si>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</si>
  <si>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</si>
  <si>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</si>
  <si>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</si>
  <si>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</si>
  <si>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</si>
  <si>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</si>
  <si>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</si>
  <si>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</si>
  <si>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</si>
  <si>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</si>
  <si>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</si>
  <si>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</si>
  <si>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</si>
  <si>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</si>
  <si>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</si>
  <si>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</si>
  <si>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</si>
  <si>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</si>
  <si>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</si>
  <si>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</si>
  <si>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</si>
  <si>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</si>
  <si>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</si>
  <si>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</si>
  <si>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</si>
  <si>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</si>
  <si>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</si>
  <si>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</si>
  <si>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</si>
  <si>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</si>
  <si>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</si>
  <si>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</si>
  <si>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</si>
  <si>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</si>
  <si>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</si>
  <si>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</si>
  <si>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</si>
  <si>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</si>
  <si>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</si>
  <si>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</si>
  <si>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</si>
  <si>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</si>
  <si>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</si>
  <si>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</si>
  <si>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</si>
  <si>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</si>
  <si>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</si>
  <si>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</si>
  <si>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</si>
  <si>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</si>
  <si>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</si>
  <si>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</si>
  <si>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</si>
  <si>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</si>
  <si>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</si>
  <si>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</si>
  <si>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</si>
  <si>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</si>
  <si>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</si>
  <si>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</si>
  <si>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</si>
  <si>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</si>
  <si>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</si>
  <si>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</si>
  <si>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</si>
  <si>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</si>
  <si>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</si>
  <si>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</si>
  <si>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</si>
  <si>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</si>
  <si>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</si>
  <si>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</si>
  <si>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</si>
  <si>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</si>
  <si>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</si>
  <si>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</si>
  <si>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</si>
  <si>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</si>
  <si>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</si>
  <si>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</si>
  <si>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</si>
  <si>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</si>
  <si>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</si>
  <si>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</si>
  <si>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</si>
  <si>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</si>
  <si>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</si>
  <si>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</si>
  <si>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</si>
  <si>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</si>
  <si>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</si>
  <si>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</si>
  <si>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</si>
  <si>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</si>
  <si>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</si>
  <si>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</si>
  <si>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</si>
  <si>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</si>
  <si>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</si>
  <si>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</si>
  <si>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</si>
  <si>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</si>
  <si>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</si>
  <si>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</si>
  <si>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</si>
  <si>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</si>
  <si>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</si>
  <si>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</si>
  <si>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</si>
  <si>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</si>
  <si>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</si>
  <si>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</si>
  <si>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</si>
  <si>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</si>
  <si>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</si>
  <si>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</si>
  <si>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</si>
  <si>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</si>
  <si>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</si>
  <si>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</si>
  <si>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</si>
  <si>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</si>
  <si>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</si>
  <si>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</si>
  <si>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</si>
  <si>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</si>
  <si>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</si>
  <si>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</si>
  <si>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</si>
  <si>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</si>
  <si>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</si>
  <si>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</si>
  <si>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</si>
  <si>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</si>
  <si>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</si>
  <si>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</si>
  <si>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</si>
  <si>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</si>
  <si>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</si>
  <si>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</si>
  <si>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</si>
  <si>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</si>
  <si>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</si>
  <si>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</si>
  <si>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</si>
  <si>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</si>
  <si>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</si>
  <si>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</si>
  <si>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</si>
  <si>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</si>
  <si>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</si>
  <si>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</si>
  <si>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</si>
  <si>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</si>
  <si>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</si>
  <si>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</si>
  <si>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</si>
  <si>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</si>
  <si>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</si>
  <si>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</si>
  <si>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</si>
  <si>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</si>
  <si>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</si>
  <si>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</si>
  <si>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</si>
  <si>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</si>
  <si>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</si>
  <si>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</si>
  <si>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</si>
  <si>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</si>
  <si>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</si>
  <si>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</si>
  <si>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</si>
  <si>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</si>
  <si>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</si>
  <si>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</si>
  <si>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</si>
  <si>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</si>
  <si>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</si>
  <si>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</si>
  <si>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</si>
  <si>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</si>
  <si>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</si>
  <si>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</si>
  <si>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</si>
  <si>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</si>
  <si>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</si>
  <si>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</si>
  <si>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</si>
  <si>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</si>
  <si>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</si>
  <si>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</si>
  <si>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</si>
  <si>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</si>
  <si>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</si>
  <si>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</si>
  <si>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</si>
  <si>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</si>
  <si>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</si>
  <si>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</si>
  <si>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</si>
  <si>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</si>
  <si>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</si>
  <si>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</si>
  <si>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</si>
  <si>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</si>
  <si>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</si>
  <si>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</si>
  <si>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</si>
  <si>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</si>
  <si>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</si>
  <si>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</si>
  <si>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</si>
  <si>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</si>
  <si>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</si>
  <si>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</si>
  <si>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</si>
  <si>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</si>
  <si>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</si>
  <si>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</si>
  <si>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</si>
  <si>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</si>
  <si>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</si>
  <si>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</si>
  <si>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</si>
  <si>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</si>
  <si>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</si>
  <si>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</si>
  <si>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</si>
  <si>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</si>
  <si>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</si>
  <si>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</si>
  <si>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</si>
  <si>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</si>
  <si>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</si>
  <si>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</si>
  <si>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</si>
  <si>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</si>
  <si>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</si>
  <si>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</si>
  <si>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</si>
  <si>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</si>
  <si>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</si>
  <si>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</si>
  <si>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</si>
  <si>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</si>
  <si>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</si>
  <si>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</si>
  <si>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</si>
  <si>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</si>
  <si>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</si>
  <si>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</si>
  <si>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</si>
  <si>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</si>
  <si>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</si>
  <si>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</si>
  <si>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</si>
  <si>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</si>
  <si>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</si>
  <si>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</si>
  <si>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</si>
  <si>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</si>
  <si>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</si>
  <si>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</si>
  <si>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</si>
  <si>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</si>
  <si>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</si>
  <si>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</si>
  <si>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</si>
  <si>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</si>
  <si>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</si>
  <si>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</si>
  <si>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</si>
  <si>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</si>
  <si>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</si>
  <si>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</si>
  <si>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</si>
  <si>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</si>
  <si>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</si>
  <si>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</si>
  <si>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</si>
  <si>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</si>
  <si>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</si>
  <si>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</si>
  <si>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</si>
  <si>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</si>
  <si>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</si>
  <si>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</si>
  <si>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</si>
  <si>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</si>
  <si>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</si>
  <si>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</si>
  <si>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</si>
  <si>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</si>
  <si>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</si>
  <si>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Row Labels</t>
  </si>
  <si>
    <t>Grand Total</t>
  </si>
  <si>
    <t>Jan</t>
  </si>
  <si>
    <t>Feb</t>
  </si>
  <si>
    <t>Mar</t>
  </si>
  <si>
    <t>Apr</t>
  </si>
  <si>
    <t>May</t>
  </si>
  <si>
    <t>Jun</t>
  </si>
  <si>
    <t>Jul</t>
  </si>
  <si>
    <t>Aug</t>
  </si>
  <si>
    <t>Sep</t>
  </si>
  <si>
    <t>Oct</t>
  </si>
  <si>
    <t>Nov</t>
  </si>
  <si>
    <t>Dec</t>
  </si>
  <si>
    <t>Sum of Sales</t>
  </si>
  <si>
    <t>Sum of Profit</t>
  </si>
  <si>
    <t>Count of Order ID</t>
  </si>
  <si>
    <t>E-Commerce sales &amp; Profitability KPI's</t>
  </si>
  <si>
    <t>KPI</t>
  </si>
  <si>
    <t>Value</t>
  </si>
  <si>
    <t>Total Sales</t>
  </si>
  <si>
    <t>Total Profit</t>
  </si>
  <si>
    <t>Total Orders</t>
  </si>
  <si>
    <t>Units Sold</t>
  </si>
  <si>
    <t>Average Order Value</t>
  </si>
  <si>
    <t>Profit Margin</t>
  </si>
  <si>
    <t>E-Commerce sales &amp; Profitability Dashboard</t>
  </si>
  <si>
    <t>Sales Perfomance Overview|2024</t>
  </si>
  <si>
    <t>Avg Order Value</t>
  </si>
  <si>
    <t>Key Business Insights</t>
  </si>
  <si>
    <t>Top Product</t>
  </si>
  <si>
    <t>Popular Payment Mode</t>
  </si>
  <si>
    <t xml:space="preserve">Top Category </t>
  </si>
  <si>
    <t>Best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</si>
</sst>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dd\-mm\-yyyy"/>
    <numFmt numFmtId="165" formatCode="\₹#,##0.00"/>
    <numFmt numFmtId="166" formatCode="_ [$₹-4009]\ * #,##0.00_ ;_ [$₹-4009]\ * \-#,##0.00_ ;_ [$₹-4009]\ * &quot;-&quot;??_ ;_ @_ "/>
  </numFmts>
  <fonts count="10" x14ac:knownFonts="1">
    <font>
      <sz val="11"/>
      <color theme="1"/>
      <name val="Calibri"/>
      <family val="2"/>
      <scheme val="minor"/>
    </font>
    <font>
      <b/>
      <sz val="11"/>
      <color rgb="FFFFFFFF"/>
      <name val="Calibri"/>
    </font>
    <font>
      <sz val="11"/>
      <color theme="1"/>
      <name val="Calibri"/>
      <family val="2"/>
      <scheme val="minor"/>
    </font>
    <font>
      <b/>
      <sz val="28"/>
      <color theme="1"/>
      <name val="Calibri"/>
      <family val="2"/>
      <scheme val="minor"/>
    </font>
    <font>
      <sz val="14"/>
      <color theme="0"/>
      <name val="Abadi"/>
      <family val="2"/>
    </font>
    <font>
      <b/>
      <sz val="14"/>
      <color theme="0"/>
      <name val="Calibri"/>
      <family val="2"/>
      <scheme val="minor"/>
    </font>
    <font>
      <b/>
      <sz val="16"/>
      <color theme="0"/>
      <name val="Calibri"/>
      <family val="2"/>
      <scheme val="minor"/>
    </font>
    <font>
      <b/>
      <sz val="28"/>
      <color theme="0"/>
      <name val="Aparajita"/>
      <family val="1"/>
    </font>
    <font>
      <b/>
      <sz val="16"/>
      <color theme="1"/>
      <name val="Calibri"/>
      <family val="2"/>
      <scheme val="minor"/>
    </font>
    <font>
      <b/>
      <sz val="22"/>
      <color theme="0"/>
      <name val="Cambria"/>
      <family val="1"/>
      <scheme val="major"/>
    </font>
  </fonts>
  <fills count="6">
    <fill>
      <patternFill patternType="none"/>
    </fill>
    <fill>
      <patternFill patternType="gray125"/>
    </fill>
    <fill>
      <patternFill patternType="solid">
        <fgColor rgb="FF17365D"/>
      </patternFill>
    </fill>
    <fill>
      <patternFill patternType="solid">
        <fgColor theme="2" tint="-9.9978637043366805E-2"/>
        <bgColor indexed="64"/>
      </patternFill>
    </fill>
    <fill>
      <patternFill patternType="solid">
        <fgColor theme="2" tint="-0.749992370372631"/>
        <bgColor indexed="64"/>
      </patternFill>
    </fill>
    <fill>
      <patternFill patternType="solid">
        <fgColor theme="2" tint="-0.499984740745262"/>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5">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44" fontId="0" fillId="0" borderId="0" xfId="1" applyFont="1"/>
    <xf numFmtId="10" fontId="0" fillId="0" borderId="0" xfId="2" applyNumberFormat="1" applyFont="1"/>
    <xf numFmtId="0" fontId="0" fillId="3" borderId="0" xfId="0" applyFill="1"/>
    <xf numFmtId="166" fontId="5" fillId="5" borderId="0" xfId="0" applyNumberFormat="1" applyFont="1" applyFill="1" applyAlignment="1">
      <alignment vertical="center"/>
      <extLst>
        <ext xmlns:xfpb="http://schemas.microsoft.com/office/spreadsheetml/2022/featurepropertybag" uri="{C7286773-470A-42A8-94C5-96B5CB345126}">
          <xfpb:xfComplement i="0"/>
        </ext>
      </extLst>
    </xf>
    <xf numFmtId="0" fontId="5" fillId="4" borderId="0" xfId="0" applyFont="1" applyFill="1" applyAlignment="1">
      <alignment horizontal="center" vertical="center"/>
      <extLst>
        <ext xmlns:xfpb="http://schemas.microsoft.com/office/spreadsheetml/2022/featurepropertybag" uri="{C7286773-470A-42A8-94C5-96B5CB345126}">
          <xfpb:xfComplement i="0"/>
        </ext>
      </extLst>
    </xf>
    <xf numFmtId="44" fontId="5" fillId="5" borderId="0" xfId="0" applyNumberFormat="1" applyFont="1" applyFill="1" applyAlignment="1">
      <alignment vertical="center"/>
    </xf>
    <xf numFmtId="0" fontId="5" fillId="4" borderId="0" xfId="0" applyFont="1" applyFill="1" applyAlignment="1">
      <alignment horizontal="center" vertical="center"/>
    </xf>
    <xf numFmtId="44" fontId="5" fillId="5" borderId="0" xfId="0" applyNumberFormat="1" applyFont="1" applyFill="1" applyAlignment="1">
      <alignment horizontal="center" vertical="center"/>
    </xf>
    <xf numFmtId="10" fontId="5" fillId="5" borderId="0" xfId="0" applyNumberFormat="1" applyFont="1" applyFill="1" applyAlignment="1">
      <alignment horizontal="center" vertical="center"/>
    </xf>
    <xf numFmtId="0" fontId="8" fillId="5" borderId="0" xfId="0" applyFont="1" applyFill="1"/>
    <xf numFmtId="0" fontId="6" fillId="4" borderId="0" xfId="0" applyFont="1" applyFill="1"/>
    <xf numFmtId="0" fontId="6" fillId="4" borderId="0" xfId="0" applyFont="1" applyFill="1" applyAlignment="1">
      <alignment horizontal="left" vertical="center"/>
    </xf>
    <xf numFmtId="0" fontId="7" fillId="4" borderId="0" xfId="0" applyFont="1" applyFill="1" applyAlignment="1">
      <alignment horizontal="center"/>
    </xf>
    <xf numFmtId="0" fontId="4" fillId="4" borderId="0" xfId="0" applyFont="1" applyFill="1" applyAlignment="1">
      <alignment horizontal="center"/>
    </xf>
    <xf numFmtId="0" fontId="9" fillId="4" borderId="0" xfId="0" applyFont="1" applyFill="1" applyAlignment="1">
      <alignment horizont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3" fillId="0" borderId="0" xfId="0" applyFont="1" applyAlignment="1">
      <alignment horizontal="center"/>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[Ecommerce_Sales_Dashboard_Project_Data.xlsx]Monthly_Sales!PivotTable1</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9203849518812"/>
          <c:y val="0.14712744240303297"/>
          <c:w val="0.54532086614173225"/>
          <c:h val="0.65853091280256637"/>
        </c:manualLayout>
      </c:layout>
      <c:lineChart>
        <c:grouping val="standard"/>
        <c:varyColors val="0"/>
        <c:ser>
          <c:idx val="0"/>
          <c:order val="0"/>
          <c:tx>
            <c:strRef>
              <c:f>Monthly_Sales!$B$1</c:f>
              <c:strCache>
                <c:ptCount val="1"/>
                <c:pt idx="0">
                  <c:v>Sum of Sales</c:v>
                </c:pt>
              </c:strCache>
            </c:strRef>
          </c:tx>
          <c:spPr>
            <a:ln w="28575" cap="rnd">
              <a:solidFill>
                <a:schemeClr val="accent1"/>
              </a:solidFill>
              <a:round/>
            </a:ln>
            <a:effectLst/>
          </c:spPr>
          <c:marker>
            <c:symbol val="none"/>
          </c:marker>
          <c:cat>
            <c:strRef>
              <c:f>Monthly_Sales!$A$2:$A$14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Monthly_Sales!$B$2:$B$14</c:f>
              <c:numCache>
                <c:formatCode>\₹#,##0.00</c:formatCode>
                <c:ptCount val="12"/>
                <c:pt idx="0">
                  <c:v>407161.60000000003</c:v>
                </c:pt>
                <c:pt idx="1">
                  <c:v>953097.52999999991</c:v>
                </c:pt>
                <c:pt idx="2">
                  <c:v>469830.5399999998</c:v>
                </c:pt>
                <c:pt idx="3">
                  <c:v>846738.14000000025</c:v>
                </c:pt>
                <c:pt idx="4">
                  <c:v>577625.91</c:v>
                </c:pt>
                <c:pt idx="5">
                  <c:v>860840.34000000008</c:v>
                </c:pt>
                <c:pt idx="6">
                  <c:v>905891.98999999976</c:v>
                </c:pt>
                <c:pt idx="7">
                  <c:v>1856496.1300000004</c:v>
                </c:pt>
                <c:pt idx="8">
                  <c:v>649925.63000000012</c:v>
                </c:pt>
                <c:pt idx="9">
                  <c:v>1607369.1199999999</c:v>
                </c:pt>
                <c:pt idx="10">
                  <c:v>529884.08000000007</c:v>
                </c:pt>
                <c:pt idx="11">
                  <c:v>736088.39</c:v>
                </c:pt>
              </c:numCache>
            </c:numRef>
          </c:val>
          <c:smooth val="0"/>
          <c:extLst>
            <c:ext xmlns:c16="http://schemas.microsoft.com/office/drawing/2014/chart" uri="{C3380CC4-5D6E-409C-BE32-E72D297353CC}">
              <c16:uniqueId val="{00000000-E94A-4804-949B-77FC77D7C937}"/>
            </c:ext>
          </c:extLst>
        </c:ser>
        <c:ser>
          <c:idx val="1"/>
          <c:order val="1"/>
          <c:tx>
            <c:strRef>
              <c:f>Monthly_Sales!$C$1</c:f>
              <c:strCache>
                <c:ptCount val="1"/>
                <c:pt idx="0">
                  <c:v>Sum of Profit</c:v>
                </c:pt>
              </c:strCache>
            </c:strRef>
          </c:tx>
          <c:spPr>
            <a:ln w="28575" cap="rnd">
              <a:solidFill>
                <a:schemeClr val="accent2"/>
              </a:solidFill>
              <a:round/>
            </a:ln>
            <a:effectLst/>
          </c:spPr>
          <c:marker>
            <c:symbol val="none"/>
          </c:marker>
          <c:cat>
            <c:strRef>
              <c:f>Monthly_Sales!$A$2:$A$14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Monthly_Sales!$C$2:$C$14</c:f>
              <c:numCache>
                <c:formatCode>\₹#,##0.00</c:formatCode>
                <c:ptCount val="12"/>
                <c:pt idx="0">
                  <c:v>88664.95</c:v>
                </c:pt>
                <c:pt idx="1">
                  <c:v>191525.78999999998</c:v>
                </c:pt>
                <c:pt idx="2">
                  <c:v>110462.83000000002</c:v>
                </c:pt>
                <c:pt idx="3">
                  <c:v>210275.41999999993</c:v>
                </c:pt>
                <c:pt idx="4">
                  <c:v>114070.01000000002</c:v>
                </c:pt>
                <c:pt idx="5">
                  <c:v>161858.26</c:v>
                </c:pt>
                <c:pt idx="6">
                  <c:v>179257.34000000003</c:v>
                </c:pt>
                <c:pt idx="7">
                  <c:v>425018.01000000007</c:v>
                </c:pt>
                <c:pt idx="8">
                  <c:v>178060.44999999998</c:v>
                </c:pt>
                <c:pt idx="9">
                  <c:v>346306.95999999985</c:v>
                </c:pt>
                <c:pt idx="10">
                  <c:v>115190.79999999999</c:v>
                </c:pt>
                <c:pt idx="11">
                  <c:v>170771.7</c:v>
                </c:pt>
              </c:numCache>
            </c:numRef>
          </c:val>
          <c:smooth val="0"/>
          <c:extLst>
            <c:ext xmlns:c16="http://schemas.microsoft.com/office/drawing/2014/chart" uri="{C3380CC4-5D6E-409C-BE32-E72D297353CC}">
              <c16:uniqueId val="{00000001-E94A-4804-949B-77FC77D7C937}"/>
            </c:ext>
          </c:extLst>
        </c:ser>
        <c:dLbls>
          <c:showLegendKey val="0"/>
          <c:showVal val="0"/>
          <c:showCatName val="0"/>
          <c:showSerName val="0"/>
          <c:showPercent val="0"/>
          <c:showBubbleSize val="0"/>
        </c:dLbls>
        <c:smooth val="0"/>
        <c:axId val="679871727"/>
        <c:axId val="629233199"/>
      </c:lineChart>
      <c:catAx>
        <c:axId val="6798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233199"/>
        <c:crosses val="autoZero"/>
        <c:auto val="1"/>
        <c:lblAlgn val="ctr"/>
        <c:lblOffset val="100"/>
        <c:noMultiLvlLbl val="0"/>
      </c:catAx>
      <c:valAx>
        <c:axId val="629233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[Ecommerce_Sales_Dashboard_Project_Data.xlsx]Monthly_Sales!PivotTable1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layout>
        <c:manualLayout>
          <c:xMode val="edge"/>
          <c:yMode val="edge"/>
          <c:x val="0.35337078651685394"/>
          <c:y val="2.3637623932023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9203849518812"/>
          <c:y val="0.14712744240303297"/>
          <c:w val="0.54532086614173225"/>
          <c:h val="0.65853091280256637"/>
        </c:manualLayout>
      </c:layout>
      <c:lineChart>
        <c:grouping val="standard"/>
        <c:varyColors val="0"/>
        <c:ser>
          <c:idx val="0"/>
          <c:order val="0"/>
          <c:tx>
            <c:strRef>
              <c:f>Monthly_Sales!$B$1</c:f>
              <c:strCache>
                <c:ptCount val="1"/>
                <c:pt idx="0">
                  <c:v>Sum of Sales</c:v>
                </c:pt>
              </c:strCache>
            </c:strRef>
          </c:tx>
          <c:spPr>
            <a:ln w="28575" cap="rnd">
              <a:solidFill>
                <a:schemeClr val="accent1"/>
              </a:solidFill>
              <a:round/>
            </a:ln>
            <a:effectLst/>
          </c:spPr>
          <c:marker>
            <c:symbol val="none"/>
          </c:marker>
          <c:cat>
            <c:strRef>
              <c:f>Monthly_Sales!$A$2:$A$14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Monthly_Sales!$B$2:$B$14</c:f>
              <c:numCache>
                <c:formatCode>\₹#,##0.00</c:formatCode>
                <c:ptCount val="12"/>
                <c:pt idx="0">
                  <c:v>407161.60000000003</c:v>
                </c:pt>
                <c:pt idx="1">
                  <c:v>953097.52999999991</c:v>
                </c:pt>
                <c:pt idx="2">
                  <c:v>469830.5399999998</c:v>
                </c:pt>
                <c:pt idx="3">
                  <c:v>846738.14000000025</c:v>
                </c:pt>
                <c:pt idx="4">
                  <c:v>577625.91</c:v>
                </c:pt>
                <c:pt idx="5">
                  <c:v>860840.34000000008</c:v>
                </c:pt>
                <c:pt idx="6">
                  <c:v>905891.98999999976</c:v>
                </c:pt>
                <c:pt idx="7">
                  <c:v>1856496.1300000004</c:v>
                </c:pt>
                <c:pt idx="8">
                  <c:v>649925.63000000012</c:v>
                </c:pt>
                <c:pt idx="9">
                  <c:v>1607369.1199999999</c:v>
                </c:pt>
                <c:pt idx="10">
                  <c:v>529884.08000000007</c:v>
                </c:pt>
                <c:pt idx="11">
                  <c:v>736088.39</c:v>
                </c:pt>
              </c:numCache>
            </c:numRef>
          </c:val>
          <c:smooth val="0"/>
          <c:extLst>
            <c:ext xmlns:c16="http://schemas.microsoft.com/office/drawing/2014/chart" uri="{C3380CC4-5D6E-409C-BE32-E72D297353CC}">
              <c16:uniqueId val="{00000000-4EB8-4599-A5D9-21A85E58B4A3}"/>
            </c:ext>
          </c:extLst>
        </c:ser>
        <c:ser>
          <c:idx val="1"/>
          <c:order val="1"/>
          <c:tx>
            <c:strRef>
              <c:f>Monthly_Sales!$C$1</c:f>
              <c:strCache>
                <c:ptCount val="1"/>
                <c:pt idx="0">
                  <c:v>Sum of Profit</c:v>
                </c:pt>
              </c:strCache>
            </c:strRef>
          </c:tx>
          <c:spPr>
            <a:ln w="28575" cap="rnd">
              <a:solidFill>
                <a:schemeClr val="accent2"/>
              </a:solidFill>
              <a:round/>
            </a:ln>
            <a:effectLst/>
          </c:spPr>
          <c:marker>
            <c:symbol val="none"/>
          </c:marker>
          <c:cat>
            <c:strRef>
              <c:f>Monthly_Sales!$A$2:$A$14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Monthly_Sales!$C$2:$C$14</c:f>
              <c:numCache>
                <c:formatCode>\₹#,##0.00</c:formatCode>
                <c:ptCount val="12"/>
                <c:pt idx="0">
                  <c:v>88664.95</c:v>
                </c:pt>
                <c:pt idx="1">
                  <c:v>191525.78999999998</c:v>
                </c:pt>
                <c:pt idx="2">
                  <c:v>110462.83000000002</c:v>
                </c:pt>
                <c:pt idx="3">
                  <c:v>210275.41999999993</c:v>
                </c:pt>
                <c:pt idx="4">
                  <c:v>114070.01000000002</c:v>
                </c:pt>
                <c:pt idx="5">
                  <c:v>161858.26</c:v>
                </c:pt>
                <c:pt idx="6">
                  <c:v>179257.34000000003</c:v>
                </c:pt>
                <c:pt idx="7">
                  <c:v>425018.01000000007</c:v>
                </c:pt>
                <c:pt idx="8">
                  <c:v>178060.44999999998</c:v>
                </c:pt>
                <c:pt idx="9">
                  <c:v>346306.95999999985</c:v>
                </c:pt>
                <c:pt idx="10">
                  <c:v>115190.79999999999</c:v>
                </c:pt>
                <c:pt idx="11">
                  <c:v>170771.7</c:v>
                </c:pt>
              </c:numCache>
            </c:numRef>
          </c:val>
          <c:smooth val="0"/>
          <c:extLst>
            <c:ext xmlns:c16="http://schemas.microsoft.com/office/drawing/2014/chart" uri="{C3380CC4-5D6E-409C-BE32-E72D297353CC}">
              <c16:uniqueId val="{00000001-4EB8-4599-A5D9-21A85E58B4A3}"/>
            </c:ext>
          </c:extLst>
        </c:ser>
        <c:dLbls>
          <c:showLegendKey val="0"/>
          <c:showVal val="0"/>
          <c:showCatName val="0"/>
          <c:showSerName val="0"/>
          <c:showPercent val="0"/>
          <c:showBubbleSize val="0"/>
        </c:dLbls>
        <c:smooth val="0"/>
        <c:axId val="679871727"/>
        <c:axId val="629233199"/>
      </c:lineChart>
      <c:catAx>
        <c:axId val="6798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233199"/>
        <c:crosses val="autoZero"/>
        <c:auto val="1"/>
        <c:lblAlgn val="ctr"/>
        <c:lblOffset val="100"/>
        <c:noMultiLvlLbl val="0"/>
      </c:catAx>
      <c:valAx>
        <c:axId val="629233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[Ecommerce_Sales_Dashboard_Project_Data.xlsx]Category performance!PivotTable2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layout>
        <c:manualLayout>
          <c:xMode val="edge"/>
          <c:yMode val="edge"/>
          <c:x val="0.35331034608945078"/>
          <c:y val="3.174453625277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performance'!$B$1</c:f>
              <c:strCache>
                <c:ptCount val="1"/>
                <c:pt idx="0">
                  <c:v>Sum of Sales</c:v>
                </c:pt>
              </c:strCache>
            </c:strRef>
          </c:tx>
          <c:spPr>
            <a:solidFill>
              <a:schemeClr val="accent1"/>
            </a:solidFill>
            <a:ln>
              <a:noFill/>
            </a:ln>
            <a:effectLst/>
          </c:spPr>
          <c:invertIfNegative val="0"/>
          <c:cat>
            <c:strRef>
              <c:f>'Category performance'!$A$2:$A$7</c:f>
              <c:strCache>
                <c:ptCount val="5"/>
                <c:pt idx="0">
                  <c:v>Beauty</c:v>
                </c:pt>
                <c:pt idx="1">
                  <c:v>Clothing</c:v>
                </c:pt>
                <c:pt idx="2">
                  <c:v>Electronics</c:v>
                </c:pt>
                <c:pt idx="3">
                  <c:v>Home &amp; Kitchen</c:v>
                </c:pt>
                <c:pt idx="4">
                  <c:v>Sports</c:v>
                </c:pt>
              </c:strCache>
            </c:strRef>
          </c:cat>
          <c:val>
            <c:numRef>
              <c:f>'Category performance'!$B$2:$B$7</c:f>
              <c:numCache>
                <c:formatCode>\₹#,##0.00</c:formatCode>
                <c:ptCount val="5"/>
                <c:pt idx="0">
                  <c:v>244899.80999999997</c:v>
                </c:pt>
                <c:pt idx="1">
                  <c:v>877200.01000000036</c:v>
                </c:pt>
                <c:pt idx="2">
                  <c:v>8281700.6399999997</c:v>
                </c:pt>
                <c:pt idx="3">
                  <c:v>614180.70999999985</c:v>
                </c:pt>
                <c:pt idx="4">
                  <c:v>382968.22999999981</c:v>
                </c:pt>
              </c:numCache>
            </c:numRef>
          </c:val>
          <c:extLst>
            <c:ext xmlns:c16="http://schemas.microsoft.com/office/drawing/2014/chart" uri="{C3380CC4-5D6E-409C-BE32-E72D297353CC}">
              <c16:uniqueId val="{00000000-5290-4340-A4E1-7F25500D2D71}"/>
            </c:ext>
          </c:extLst>
        </c:ser>
        <c:ser>
          <c:idx val="1"/>
          <c:order val="1"/>
          <c:tx>
            <c:strRef>
              <c:f>'Category performance'!$C$1</c:f>
              <c:strCache>
                <c:ptCount val="1"/>
                <c:pt idx="0">
                  <c:v>Sum of Profit</c:v>
                </c:pt>
              </c:strCache>
            </c:strRef>
          </c:tx>
          <c:spPr>
            <a:solidFill>
              <a:schemeClr val="accent2"/>
            </a:solidFill>
            <a:ln>
              <a:noFill/>
            </a:ln>
            <a:effectLst/>
          </c:spPr>
          <c:invertIfNegative val="0"/>
          <c:cat>
            <c:strRef>
              <c:f>'Category performance'!$A$2:$A$7</c:f>
              <c:strCache>
                <c:ptCount val="5"/>
                <c:pt idx="0">
                  <c:v>Beauty</c:v>
                </c:pt>
                <c:pt idx="1">
                  <c:v>Clothing</c:v>
                </c:pt>
                <c:pt idx="2">
                  <c:v>Electronics</c:v>
                </c:pt>
                <c:pt idx="3">
                  <c:v>Home &amp; Kitchen</c:v>
                </c:pt>
                <c:pt idx="4">
                  <c:v>Sports</c:v>
                </c:pt>
              </c:strCache>
            </c:strRef>
          </c:cat>
          <c:val>
            <c:numRef>
              <c:f>'Category performance'!$C$2:$C$7</c:f>
              <c:numCache>
                <c:formatCode>\₹#,##0.00</c:formatCode>
                <c:ptCount val="5"/>
                <c:pt idx="0">
                  <c:v>53570.759999999987</c:v>
                </c:pt>
                <c:pt idx="1">
                  <c:v>187121.0199999999</c:v>
                </c:pt>
                <c:pt idx="2">
                  <c:v>1828488.7999999996</c:v>
                </c:pt>
                <c:pt idx="3">
                  <c:v>136766.94</c:v>
                </c:pt>
                <c:pt idx="4">
                  <c:v>85514.999999999985</c:v>
                </c:pt>
              </c:numCache>
            </c:numRef>
          </c:val>
          <c:extLst>
            <c:ext xmlns:c16="http://schemas.microsoft.com/office/drawing/2014/chart" uri="{C3380CC4-5D6E-409C-BE32-E72D297353CC}">
              <c16:uniqueId val="{00000001-5290-4340-A4E1-7F25500D2D71}"/>
            </c:ext>
          </c:extLst>
        </c:ser>
        <c:dLbls>
          <c:showLegendKey val="0"/>
          <c:showVal val="0"/>
          <c:showCatName val="0"/>
          <c:showSerName val="0"/>
          <c:showPercent val="0"/>
          <c:showBubbleSize val="0"/>
        </c:dLbls>
        <c:gapWidth val="219"/>
        <c:overlap val="-27"/>
        <c:axId val="722034479"/>
        <c:axId val="629238959"/>
      </c:barChart>
      <c:catAx>
        <c:axId val="72203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238959"/>
        <c:crosses val="autoZero"/>
        <c:auto val="1"/>
        <c:lblAlgn val="ctr"/>
        <c:lblOffset val="100"/>
        <c:noMultiLvlLbl val="0"/>
      </c:catAx>
      <c:valAx>
        <c:axId val="629238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03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[Ecommerce_Sales_Dashboard_Project_Data.xlsx]Region wise Sales&amp; profits!PivotTable3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&amp; Sales by Region</a:t>
            </a:r>
            <a:endParaRPr lang="en-IN"/>
          </a:p>
        </c:rich>
      </c:tx>
      <c:layout>
        <c:manualLayout>
          <c:xMode val="edge"/>
          <c:yMode val="edge"/>
          <c:x val="0.36269926876483249"/>
          <c:y val="2.47389253831901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wise Sales&amp; profits'!$B$3</c:f>
              <c:strCache>
                <c:ptCount val="1"/>
                <c:pt idx="0">
                  <c:v>Sum of Sales</c:v>
                </c:pt>
              </c:strCache>
            </c:strRef>
          </c:tx>
          <c:spPr>
            <a:solidFill>
              <a:schemeClr val="accent1"/>
            </a:solidFill>
            <a:ln>
              <a:noFill/>
            </a:ln>
            <a:effectLst/>
          </c:spPr>
          <c:invertIfNegative val="0"/>
          <c:cat>
            <c:strRef>
              <c:f>'Region wise Sales&amp; profits'!$A$4:$A$8</c:f>
              <c:strCache>
                <c:ptCount val="4"/>
                <c:pt idx="0">
                  <c:v>East</c:v>
                </c:pt>
                <c:pt idx="1">
                  <c:v>North</c:v>
                </c:pt>
                <c:pt idx="2">
                  <c:v>South</c:v>
                </c:pt>
                <c:pt idx="3">
                  <c:v>West</c:v>
                </c:pt>
              </c:strCache>
            </c:strRef>
          </c:cat>
          <c:val>
            <c:numRef>
              <c:f>'Region wise Sales&amp; profits'!$B$4:$B$8</c:f>
              <c:numCache>
                <c:formatCode>\₹#,##0.00</c:formatCode>
                <c:ptCount val="4"/>
                <c:pt idx="0">
                  <c:v>3107121.4099999988</c:v>
                </c:pt>
                <c:pt idx="1">
                  <c:v>3042436.74</c:v>
                </c:pt>
                <c:pt idx="2">
                  <c:v>2176801.2100000009</c:v>
                </c:pt>
                <c:pt idx="3">
                  <c:v>2074590.0400000005</c:v>
                </c:pt>
              </c:numCache>
            </c:numRef>
          </c:val>
          <c:extLst>
            <c:ext xmlns:c16="http://schemas.microsoft.com/office/drawing/2014/chart" uri="{C3380CC4-5D6E-409C-BE32-E72D297353CC}">
              <c16:uniqueId val="{00000000-FF8E-492F-8261-6C7D6AFCBAB6}"/>
            </c:ext>
          </c:extLst>
        </c:ser>
        <c:ser>
          <c:idx val="1"/>
          <c:order val="1"/>
          <c:tx>
            <c:strRef>
              <c:f>'Region wise Sales&amp; profits'!$C$3</c:f>
              <c:strCache>
                <c:ptCount val="1"/>
                <c:pt idx="0">
                  <c:v>Sum of Profit</c:v>
                </c:pt>
              </c:strCache>
            </c:strRef>
          </c:tx>
          <c:spPr>
            <a:solidFill>
              <a:schemeClr val="accent2"/>
            </a:solidFill>
            <a:ln>
              <a:noFill/>
            </a:ln>
            <a:effectLst/>
          </c:spPr>
          <c:invertIfNegative val="0"/>
          <c:cat>
            <c:strRef>
              <c:f>'Region wise Sales&amp; profits'!$A$4:$A$8</c:f>
              <c:strCache>
                <c:ptCount val="4"/>
                <c:pt idx="0">
                  <c:v>East</c:v>
                </c:pt>
                <c:pt idx="1">
                  <c:v>North</c:v>
                </c:pt>
                <c:pt idx="2">
                  <c:v>South</c:v>
                </c:pt>
                <c:pt idx="3">
                  <c:v>West</c:v>
                </c:pt>
              </c:strCache>
            </c:strRef>
          </c:cat>
          <c:val>
            <c:numRef>
              <c:f>'Region wise Sales&amp; profits'!$C$4:$C$8</c:f>
              <c:numCache>
                <c:formatCode>\₹#,##0.00</c:formatCode>
                <c:ptCount val="4"/>
                <c:pt idx="0">
                  <c:v>653332.05999999959</c:v>
                </c:pt>
                <c:pt idx="1">
                  <c:v>748334.8899999999</c:v>
                </c:pt>
                <c:pt idx="2">
                  <c:v>438384.86999999982</c:v>
                </c:pt>
                <c:pt idx="3">
                  <c:v>451410.7000000003</c:v>
                </c:pt>
              </c:numCache>
            </c:numRef>
          </c:val>
          <c:extLst>
            <c:ext xmlns:c16="http://schemas.microsoft.com/office/drawing/2014/chart" uri="{C3380CC4-5D6E-409C-BE32-E72D297353CC}">
              <c16:uniqueId val="{00000001-FF8E-492F-8261-6C7D6AFCBAB6}"/>
            </c:ext>
          </c:extLst>
        </c:ser>
        <c:dLbls>
          <c:showLegendKey val="0"/>
          <c:showVal val="0"/>
          <c:showCatName val="0"/>
          <c:showSerName val="0"/>
          <c:showPercent val="0"/>
          <c:showBubbleSize val="0"/>
        </c:dLbls>
        <c:gapWidth val="182"/>
        <c:axId val="723239887"/>
        <c:axId val="629280719"/>
      </c:barChart>
      <c:catAx>
        <c:axId val="72323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280719"/>
        <c:crosses val="autoZero"/>
        <c:auto val="1"/>
        <c:lblAlgn val="ctr"/>
        <c:lblOffset val="100"/>
        <c:noMultiLvlLbl val="0"/>
      </c:catAx>
      <c:valAx>
        <c:axId val="629280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3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[Ecommerce_Sales_Dashboard_Project_Data.xlsx]Top 10 products!PivotTable4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Products by Sales</a:t>
            </a:r>
            <a:endParaRPr lang="en-IN"/>
          </a:p>
        </c:rich>
      </c:tx>
      <c:layout>
        <c:manualLayout>
          <c:xMode val="edge"/>
          <c:yMode val="edge"/>
          <c:x val="0.40962263024463585"/>
          <c:y val="2.41906204953936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Sum of Sales</c:v>
                </c:pt>
              </c:strCache>
            </c:strRef>
          </c:tx>
          <c:spPr>
            <a:solidFill>
              <a:schemeClr val="accent1"/>
            </a:solidFill>
            <a:ln>
              <a:noFill/>
            </a:ln>
            <a:effectLst/>
          </c:spPr>
          <c:invertIfNegative val="0"/>
          <c:cat>
            <c:strRef>
              <c:f>'Top 10 products'!$A$4:$A$14</c:f>
              <c:strCache>
                <c:ptCount val="10"/>
                <c:pt idx="0">
                  <c:v>Laptop</c:v>
                </c:pt>
                <c:pt idx="1">
                  <c:v>Smartphone</c:v>
                </c:pt>
                <c:pt idx="2">
                  <c:v>Smart Watch</c:v>
                </c:pt>
                <c:pt idx="3">
                  <c:v>Shoes</c:v>
                </c:pt>
                <c:pt idx="4">
                  <c:v>Wireless Earbuds</c:v>
                </c:pt>
                <c:pt idx="5">
                  <c:v>Bluetooth Speaker</c:v>
                </c:pt>
                <c:pt idx="6">
                  <c:v>Jacket</c:v>
                </c:pt>
                <c:pt idx="7">
                  <c:v>Air Fryer</c:v>
                </c:pt>
                <c:pt idx="8">
                  <c:v>Running Shoes</c:v>
                </c:pt>
                <c:pt idx="9">
                  <c:v>Cookware Set</c:v>
                </c:pt>
              </c:strCache>
            </c:strRef>
          </c:cat>
          <c:val>
            <c:numRef>
              <c:f>'Top 10 products'!$B$4:$B$14</c:f>
              <c:numCache>
                <c:formatCode>\₹#,##0.00</c:formatCode>
                <c:ptCount val="10"/>
                <c:pt idx="0">
                  <c:v>5435916.0999999996</c:v>
                </c:pt>
                <c:pt idx="1">
                  <c:v>1871651.0300000003</c:v>
                </c:pt>
                <c:pt idx="2">
                  <c:v>370886.19</c:v>
                </c:pt>
                <c:pt idx="3">
                  <c:v>325280.67</c:v>
                </c:pt>
                <c:pt idx="4">
                  <c:v>320983.83999999997</c:v>
                </c:pt>
                <c:pt idx="5">
                  <c:v>282263.48</c:v>
                </c:pt>
                <c:pt idx="6">
                  <c:v>230685.85999999996</c:v>
                </c:pt>
                <c:pt idx="7">
                  <c:v>206544.91</c:v>
                </c:pt>
                <c:pt idx="8">
                  <c:v>166214.26999999999</c:v>
                </c:pt>
                <c:pt idx="9">
                  <c:v>163501.65</c:v>
                </c:pt>
              </c:numCache>
            </c:numRef>
          </c:val>
          <c:extLst>
            <c:ext xmlns:c16="http://schemas.microsoft.com/office/drawing/2014/chart" uri="{C3380CC4-5D6E-409C-BE32-E72D297353CC}">
              <c16:uniqueId val="{00000000-F0F0-490D-B259-BE2A87E937F4}"/>
            </c:ext>
          </c:extLst>
        </c:ser>
        <c:ser>
          <c:idx val="1"/>
          <c:order val="1"/>
          <c:tx>
            <c:strRef>
              <c:f>'Top 10 products'!$C$3</c:f>
              <c:strCache>
                <c:ptCount val="1"/>
                <c:pt idx="0">
                  <c:v>Sum of Profit</c:v>
                </c:pt>
              </c:strCache>
            </c:strRef>
          </c:tx>
          <c:spPr>
            <a:solidFill>
              <a:schemeClr val="accent2"/>
            </a:solidFill>
            <a:ln>
              <a:noFill/>
            </a:ln>
            <a:effectLst/>
          </c:spPr>
          <c:invertIfNegative val="0"/>
          <c:cat>
            <c:strRef>
              <c:f>'Top 10 products'!$A$4:$A$14</c:f>
              <c:strCache>
                <c:ptCount val="10"/>
                <c:pt idx="0">
                  <c:v>Laptop</c:v>
                </c:pt>
                <c:pt idx="1">
                  <c:v>Smartphone</c:v>
                </c:pt>
                <c:pt idx="2">
                  <c:v>Smart Watch</c:v>
                </c:pt>
                <c:pt idx="3">
                  <c:v>Shoes</c:v>
                </c:pt>
                <c:pt idx="4">
                  <c:v>Wireless Earbuds</c:v>
                </c:pt>
                <c:pt idx="5">
                  <c:v>Bluetooth Speaker</c:v>
                </c:pt>
                <c:pt idx="6">
                  <c:v>Jacket</c:v>
                </c:pt>
                <c:pt idx="7">
                  <c:v>Air Fryer</c:v>
                </c:pt>
                <c:pt idx="8">
                  <c:v>Running Shoes</c:v>
                </c:pt>
                <c:pt idx="9">
                  <c:v>Cookware Set</c:v>
                </c:pt>
              </c:strCache>
            </c:strRef>
          </c:cat>
          <c:val>
            <c:numRef>
              <c:f>'Top 10 products'!$C$4:$C$14</c:f>
              <c:numCache>
                <c:formatCode>\₹#,##0.00</c:formatCode>
                <c:ptCount val="10"/>
                <c:pt idx="0">
                  <c:v>1167864.78</c:v>
                </c:pt>
                <c:pt idx="1">
                  <c:v>438945.09</c:v>
                </c:pt>
                <c:pt idx="2">
                  <c:v>85873.620000000024</c:v>
                </c:pt>
                <c:pt idx="3">
                  <c:v>70646.289999999994</c:v>
                </c:pt>
                <c:pt idx="4">
                  <c:v>73013.510000000024</c:v>
                </c:pt>
                <c:pt idx="5">
                  <c:v>62791.8</c:v>
                </c:pt>
                <c:pt idx="6">
                  <c:v>43401.869999999995</c:v>
                </c:pt>
                <c:pt idx="7">
                  <c:v>44330.36</c:v>
                </c:pt>
                <c:pt idx="8">
                  <c:v>38012.950000000012</c:v>
                </c:pt>
                <c:pt idx="9">
                  <c:v>36999.97</c:v>
                </c:pt>
              </c:numCache>
            </c:numRef>
          </c:val>
          <c:extLst>
            <c:ext xmlns:c16="http://schemas.microsoft.com/office/drawing/2014/chart" uri="{C3380CC4-5D6E-409C-BE32-E72D297353CC}">
              <c16:uniqueId val="{00000001-F0F0-490D-B259-BE2A87E937F4}"/>
            </c:ext>
          </c:extLst>
        </c:ser>
        <c:dLbls>
          <c:showLegendKey val="0"/>
          <c:showVal val="0"/>
          <c:showCatName val="0"/>
          <c:showSerName val="0"/>
          <c:showPercent val="0"/>
          <c:showBubbleSize val="0"/>
        </c:dLbls>
        <c:gapWidth val="182"/>
        <c:axId val="731223839"/>
        <c:axId val="629192879"/>
      </c:barChart>
      <c:catAx>
        <c:axId val="73122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92879"/>
        <c:crosses val="autoZero"/>
        <c:auto val="1"/>
        <c:lblAlgn val="ctr"/>
        <c:lblOffset val="100"/>
        <c:noMultiLvlLbl val="0"/>
      </c:catAx>
      <c:valAx>
        <c:axId val="629192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2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[Ecommerce_Sales_Dashboard_Project_Data.xlsx]Payment mode!PivotTable5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by Payment Mode</a:t>
            </a:r>
            <a:endParaRPr lang="en-IN"/>
          </a:p>
        </c:rich>
      </c:tx>
      <c:layout>
        <c:manualLayout>
          <c:xMode val="edge"/>
          <c:yMode val="edge"/>
          <c:x val="0.47151817383702482"/>
          <c:y val="2.39168499882490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0.22380711982391435"/>
          <c:y val="0.19236821625908729"/>
          <c:w val="0.44420369268083726"/>
          <c:h val="0.73214602943923779"/>
        </c:manualLayout>
      </c:layout>
      <c:doughnutChart>
        <c:varyColors val="1"/>
        <c:ser>
          <c:idx val="0"/>
          <c:order val="0"/>
          <c:tx>
            <c:strRef>
              <c:f>'Payment mode'!$B$3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D-4BFA-8748-CBCCEC0AB1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D-4BFA-8748-CBCCEC0AB1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D-4BFA-8748-CBCCEC0AB1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D-4BFA-8748-CBCCEC0AB1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D-4BFA-8748-CBCCEC0AB1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E6D-4BFA-8748-CBCCEC0AB1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mode'!$A$4:$A$10</c:f>
              <c:strCache>
                <c:ptCount val="6"/>
                <c:pt idx="0">
                  <c:v>COD</c:v>
                </c:pt>
                <c:pt idx="1">
                  <c:v>Credit Card</c:v>
                </c:pt>
                <c:pt idx="2">
                  <c:v>Debit Card</c:v>
                </c:pt>
                <c:pt idx="3">
                  <c:v>Net Banking</c:v>
                </c:pt>
                <c:pt idx="4">
                  <c:v>UPI</c:v>
                </c:pt>
                <c:pt idx="5">
                  <c:v>Wallet</c:v>
                </c:pt>
              </c:strCache>
            </c:strRef>
          </c:cat>
          <c:val>
            <c:numRef>
              <c:f>'Payment mode'!$B$4:$B$10</c:f>
              <c:numCache>
                <c:formatCode>\₹#,##0.00</c:formatCode>
                <c:ptCount val="6"/>
                <c:pt idx="0">
                  <c:v>1328358.47</c:v>
                </c:pt>
                <c:pt idx="1">
                  <c:v>1963052.8900000004</c:v>
                </c:pt>
                <c:pt idx="2">
                  <c:v>1522706.2399999998</c:v>
                </c:pt>
                <c:pt idx="3">
                  <c:v>1450047.7100000002</c:v>
                </c:pt>
                <c:pt idx="4">
                  <c:v>2131427.17</c:v>
                </c:pt>
                <c:pt idx="5">
                  <c:v>2005356.92</c:v>
                </c:pt>
              </c:numCache>
            </c:numRef>
          </c:val>
          <c:extLst>
            <c:ext xmlns:c16="http://schemas.microsoft.com/office/drawing/2014/chart" uri="{C3380CC4-5D6E-409C-BE32-E72D297353CC}">
              <c16:uniqueId val="{0000000C-6E6D-4BFA-8748-CBCCEC0AB1F7}"/>
            </c:ext>
          </c:extLst>
        </c:ser>
        <c:ser>
          <c:idx val="1"/>
          <c:order val="1"/>
          <c:tx>
            <c:strRef>
              <c:f>'Payment mode'!$C$3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6E6D-4BFA-8748-CBCCEC0AB1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6E6D-4BFA-8748-CBCCEC0AB1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6E6D-4BFA-8748-CBCCEC0AB1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6E6D-4BFA-8748-CBCCEC0AB1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6E6D-4BFA-8748-CBCCEC0AB1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6E6D-4BFA-8748-CBCCEC0AB1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mode'!$A$4:$A$10</c:f>
              <c:strCache>
                <c:ptCount val="6"/>
                <c:pt idx="0">
                  <c:v>COD</c:v>
                </c:pt>
                <c:pt idx="1">
                  <c:v>Credit Card</c:v>
                </c:pt>
                <c:pt idx="2">
                  <c:v>Debit Card</c:v>
                </c:pt>
                <c:pt idx="3">
                  <c:v>Net Banking</c:v>
                </c:pt>
                <c:pt idx="4">
                  <c:v>UPI</c:v>
                </c:pt>
                <c:pt idx="5">
                  <c:v>Wallet</c:v>
                </c:pt>
              </c:strCache>
            </c:strRef>
          </c:cat>
          <c:val>
            <c:numRef>
              <c:f>'Payment mode'!$C$4:$C$10</c:f>
              <c:numCache>
                <c:formatCode>General</c:formatCode>
                <c:ptCount val="6"/>
                <c:pt idx="0">
                  <c:v>76</c:v>
                </c:pt>
                <c:pt idx="1">
                  <c:v>81</c:v>
                </c:pt>
                <c:pt idx="2">
                  <c:v>92</c:v>
                </c:pt>
                <c:pt idx="3">
                  <c:v>86</c:v>
                </c:pt>
                <c:pt idx="4">
                  <c:v>90</c:v>
                </c:pt>
                <c:pt idx="5">
                  <c:v>75</c:v>
                </c:pt>
              </c:numCache>
            </c:numRef>
          </c:val>
          <c:extLst>
            <c:ext xmlns:c16="http://schemas.microsoft.com/office/drawing/2014/chart" uri="{C3380CC4-5D6E-409C-BE32-E72D297353CC}">
              <c16:uniqueId val="{00000019-6E6D-4BFA-8748-CBCCEC0AB1F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microsoft.com/office/2017/06/relationships/model3d" Target="../media/model3d1.glb"/><Relationship Id="rId5" Type="http://schemas.openxmlformats.org/officeDocument/2006/relationships/chart" Target="../charts/chart6.xml"/><Relationship Id="rId10" Type="http://schemas.openxmlformats.org/officeDocument/2006/relationships/image" Target="../media/image4.jpeg"/><Relationship Id="rId4" Type="http://schemas.openxmlformats.org/officeDocument/2006/relationships/chart" Target="../charts/chart5.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3</xdr:col>
      <xdr:colOff>419100</xdr:colOff>
      <xdr:row>6</xdr:row>
      <xdr:rowOff>41910</xdr:rowOff>
    </xdr:from>
    <xdr:to>
      <xdr:col>11</xdr:col>
      <xdr:colOff>114300</xdr:colOff>
      <xdr:row>21</xdr:row>
      <xdr:rowOff>41910</xdr:rowOff>
    </xdr:to>
    <xdr:graphicFrame macro="">
      <xdr:nvGraphicFramePr>
        <xdr:cNvPr id="3" name="Chart 2">
          <a:extLst>
            <a:ext uri="{FF2B5EF4-FFF2-40B4-BE49-F238E27FC236}">
              <a16:creationId xmlns:a16="http://schemas.microsoft.com/office/drawing/2014/main" id="{84DC3632-490B-8BF9-3DB1-0418E9C74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6</xdr:row>
      <xdr:rowOff>89648</xdr:rowOff>
    </xdr:from>
    <xdr:to>
      <xdr:col>6</xdr:col>
      <xdr:colOff>627529</xdr:colOff>
      <xdr:row>25</xdr:row>
      <xdr:rowOff>38101</xdr:rowOff>
    </xdr:to>
    <xdr:graphicFrame macro="">
      <xdr:nvGraphicFramePr>
        <xdr:cNvPr id="3" name="Chart 2">
          <a:extLst>
            <a:ext uri="{FF2B5EF4-FFF2-40B4-BE49-F238E27FC236}">
              <a16:creationId xmlns:a16="http://schemas.microsoft.com/office/drawing/2014/main" id="{CEACEC01-3878-4B4F-869B-AF28B967D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606323</xdr:colOff>
      <xdr:row>6</xdr:row>
      <xdr:rowOff>82177</xdr:rowOff>
    </xdr:from>
    <xdr:to>
      <xdr:col>13</xdr:col>
      <xdr:colOff>1098176</xdr:colOff>
      <xdr:row>25</xdr:row>
      <xdr:rowOff>38099</xdr:rowOff>
    </xdr:to>
    <xdr:graphicFrame macro="">
      <xdr:nvGraphicFramePr>
        <xdr:cNvPr id="4" name="Chart 3">
          <a:extLst>
            <a:ext uri="{FF2B5EF4-FFF2-40B4-BE49-F238E27FC236}">
              <a16:creationId xmlns:a16="http://schemas.microsoft.com/office/drawing/2014/main" id="{B11AC37F-7C38-43F7-9840-119C9E249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77947</xdr:rowOff>
    </xdr:from>
    <xdr:to>
      <xdr:col>6</xdr:col>
      <xdr:colOff>596661</xdr:colOff>
      <xdr:row>39</xdr:row>
      <xdr:rowOff>71622</xdr:rowOff>
    </xdr:to>
    <xdr:graphicFrame macro="">
      <xdr:nvGraphicFramePr>
        <xdr:cNvPr id="5" name="Chart 4">
          <a:extLst>
            <a:ext uri="{FF2B5EF4-FFF2-40B4-BE49-F238E27FC236}">
              <a16:creationId xmlns:a16="http://schemas.microsoft.com/office/drawing/2014/main" id="{14A30F16-3D3C-4566-BE53-B48AF850F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612588</xdr:colOff>
      <xdr:row>25</xdr:row>
      <xdr:rowOff>82175</xdr:rowOff>
    </xdr:from>
    <xdr:to>
      <xdr:col>13</xdr:col>
      <xdr:colOff>1105647</xdr:colOff>
      <xdr:row>39</xdr:row>
      <xdr:rowOff>82177</xdr:rowOff>
    </xdr:to>
    <xdr:graphicFrame macro="">
      <xdr:nvGraphicFramePr>
        <xdr:cNvPr id="6" name="Chart 5">
          <a:extLst>
            <a:ext uri="{FF2B5EF4-FFF2-40B4-BE49-F238E27FC236}">
              <a16:creationId xmlns:a16="http://schemas.microsoft.com/office/drawing/2014/main" id="{5BB45AEE-CF9E-4192-B6B1-0754A94D0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1120590</xdr:colOff>
      <xdr:row>6</xdr:row>
      <xdr:rowOff>51549</xdr:rowOff>
    </xdr:from>
    <xdr:to>
      <xdr:col>20</xdr:col>
      <xdr:colOff>545354</xdr:colOff>
      <xdr:row>25</xdr:row>
      <xdr:rowOff>37354</xdr:rowOff>
    </xdr:to>
    <xdr:graphicFrame macro="">
      <xdr:nvGraphicFramePr>
        <xdr:cNvPr id="7" name="Chart 6">
          <a:extLst>
            <a:ext uri="{FF2B5EF4-FFF2-40B4-BE49-F238E27FC236}">
              <a16:creationId xmlns:a16="http://schemas.microsoft.com/office/drawing/2014/main" id="{EEEC5F83-EE18-44C1-9B02-DC433A6E0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38549</xdr:colOff>
      <xdr:row>2</xdr:row>
      <xdr:rowOff>43783</xdr:rowOff>
    </xdr:from>
    <xdr:to>
      <xdr:col>3</xdr:col>
      <xdr:colOff>174859</xdr:colOff>
      <xdr:row>2</xdr:row>
      <xdr:rowOff>1436914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1033E87-6F9F-4600-B998-E63F8D1FC0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549" y="798727"/>
              <a:ext cx="3151249" cy="1432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25815</xdr:colOff>
      <xdr:row>2</xdr:row>
      <xdr:rowOff>34763</xdr:rowOff>
    </xdr:from>
    <xdr:to>
      <xdr:col>10</xdr:col>
      <xdr:colOff>74706</xdr:colOff>
      <xdr:row>2</xdr:row>
      <xdr:rowOff>1428031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81E337DA-C4D1-4BD1-A419-E18EC8A6AC6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36093" y="789707"/>
              <a:ext cx="2976946" cy="1393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160835</xdr:colOff>
      <xdr:row>2</xdr:row>
      <xdr:rowOff>34765</xdr:rowOff>
    </xdr:from>
    <xdr:to>
      <xdr:col>14</xdr:col>
      <xdr:colOff>4608</xdr:colOff>
      <xdr:row>2</xdr:row>
      <xdr:rowOff>1418263</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ABF9C732-A588-4CC4-A554-4D60D9A48985}"/>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299168" y="789709"/>
              <a:ext cx="2976441" cy="1383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84142</xdr:colOff>
      <xdr:row>2</xdr:row>
      <xdr:rowOff>38856</xdr:rowOff>
    </xdr:from>
    <xdr:to>
      <xdr:col>20</xdr:col>
      <xdr:colOff>534267</xdr:colOff>
      <xdr:row>2</xdr:row>
      <xdr:rowOff>1382059</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124A7329-CAB7-4069-A60A-F3B8FEE5F31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355142" y="793800"/>
              <a:ext cx="4090792" cy="13432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40968</xdr:rowOff>
    </xdr:from>
    <xdr:to>
      <xdr:col>0</xdr:col>
      <xdr:colOff>1275828</xdr:colOff>
      <xdr:row>1</xdr:row>
      <xdr:rowOff>163871</xdr:rowOff>
    </xdr:to>
    <mc:AlternateContent xmlns:mc="http://schemas.openxmlformats.org/markup-compatibility/2006">
      <mc:Choice xmlns:am3d="http://schemas.microsoft.com/office/drawing/2017/model3d" Requires="am3d">
        <xdr:graphicFrame macro="">
          <xdr:nvGraphicFramePr>
            <xdr:cNvPr id="22" name="3D Model 21" descr="Downward Trend">
              <a:extLst>
                <a:ext uri="{FF2B5EF4-FFF2-40B4-BE49-F238E27FC236}">
                  <a16:creationId xmlns:a16="http://schemas.microsoft.com/office/drawing/2014/main" id="{79E7A8C8-3C5C-04CA-823A-D8520489864B}"/>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6">
                <am3d:spPr>
                  <a:xfrm>
                    <a:off x="0" y="0"/>
                    <a:ext cx="1275828" cy="630903"/>
                  </a:xfrm>
                  <a:prstGeom prst="rect">
                    <a:avLst/>
                  </a:prstGeom>
                </am3d:spPr>
                <am3d:camera>
                  <am3d:pos x="0" y="0" z="62392039"/>
                  <am3d:up dx="0" dy="36000000" dz="0"/>
                  <am3d:lookAt x="0" y="0" z="0"/>
                  <am3d:perspective fov="2700000"/>
                </am3d:camera>
                <am3d:trans>
                  <am3d:meterPerModelUnit n="95198" d="1000000"/>
                  <am3d:preTrans dx="0" dy="-15145514" dz="0"/>
                  <am3d:scale>
                    <am3d:sx n="1000000" d="1000000"/>
                    <am3d:sy n="1000000" d="1000000"/>
                    <am3d:sz n="1000000" d="1000000"/>
                  </am3d:scale>
                  <am3d:rot/>
                  <am3d:postTrans dx="0" dy="0" dz="0"/>
                </am3d:trans>
                <am3d:raster rName="Office3DRenderer" rVer="16.0.8326">
                  <am3d:blip r:embed="rId7"/>
                </am3d:raster>
                <am3d:objViewport viewportSz="1006042"/>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2" name="3D Model 21" descr="Downward Trend">
              <a:extLst>
                <a:ext uri="{FF2B5EF4-FFF2-40B4-BE49-F238E27FC236}">
                  <a16:creationId xmlns:a16="http://schemas.microsoft.com/office/drawing/2014/main" id="{79E7A8C8-3C5C-04CA-823A-D8520489864B}"/>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7"/>
            <a:stretch>
              <a:fillRect/>
            </a:stretch>
          </xdr:blipFill>
          <xdr:spPr>
            <a:xfrm>
              <a:off x="0" y="40968"/>
              <a:ext cx="1275828" cy="630903"/>
            </a:xfrm>
            <a:prstGeom prst="rect">
              <a:avLst/>
            </a:prstGeom>
          </xdr:spPr>
        </xdr:pic>
      </mc:Fallback>
    </mc:AlternateContent>
    <xdr:clientData/>
  </xdr:twoCellAnchor>
  <xdr:twoCellAnchor editAs="oneCell">
    <xdr:from>
      <xdr:col>16</xdr:col>
      <xdr:colOff>167291</xdr:colOff>
      <xdr:row>2</xdr:row>
      <xdr:rowOff>1447800</xdr:rowOff>
    </xdr:from>
    <xdr:to>
      <xdr:col>18</xdr:col>
      <xdr:colOff>297441</xdr:colOff>
      <xdr:row>6</xdr:row>
      <xdr:rowOff>499</xdr:rowOff>
    </xdr:to>
    <xdr:pic>
      <xdr:nvPicPr>
        <xdr:cNvPr id="14" name="Picture 13" descr="E-Commerce Glossary | ThoughtMetric">
          <a:extLst>
            <a:ext uri="{FF2B5EF4-FFF2-40B4-BE49-F238E27FC236}">
              <a16:creationId xmlns:a16="http://schemas.microsoft.com/office/drawing/2014/main" id="{986DEB0F-47D0-1490-8ACE-F500D4CE4B3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658206" y="2199068"/>
          <a:ext cx="1353643" cy="9133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314324</xdr:colOff>
      <xdr:row>2</xdr:row>
      <xdr:rowOff>1447800</xdr:rowOff>
    </xdr:from>
    <xdr:to>
      <xdr:col>20</xdr:col>
      <xdr:colOff>590549</xdr:colOff>
      <xdr:row>6</xdr:row>
      <xdr:rowOff>1639</xdr:rowOff>
    </xdr:to>
    <xdr:pic>
      <xdr:nvPicPr>
        <xdr:cNvPr id="15" name="Picture 14" descr="Optimización de Precios en Retail: reflexiones sobre aciertos, mitos, y errores - Introducción">
          <a:extLst>
            <a:ext uri="{FF2B5EF4-FFF2-40B4-BE49-F238E27FC236}">
              <a16:creationId xmlns:a16="http://schemas.microsoft.com/office/drawing/2014/main" id="{6CCB435A-DC10-3DFD-AC61-C53DE446AF96}"/>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020549" y="2209800"/>
          <a:ext cx="1495425" cy="914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15711</xdr:colOff>
      <xdr:row>2</xdr:row>
      <xdr:rowOff>1453132</xdr:rowOff>
    </xdr:from>
    <xdr:to>
      <xdr:col>16</xdr:col>
      <xdr:colOff>143629</xdr:colOff>
      <xdr:row>6</xdr:row>
      <xdr:rowOff>15710</xdr:rowOff>
    </xdr:to>
    <xdr:pic>
      <xdr:nvPicPr>
        <xdr:cNvPr id="16" name="Picture 15" descr="Optimizing ecommerce for Small Businesses: Insights from the PYMNTS Vi">
          <a:extLst>
            <a:ext uri="{FF2B5EF4-FFF2-40B4-BE49-F238E27FC236}">
              <a16:creationId xmlns:a16="http://schemas.microsoft.com/office/drawing/2014/main" id="{2C1AD6EE-A77D-FD5F-F248-15928BCB32F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293257" y="2207276"/>
          <a:ext cx="1353403" cy="9192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ar" refreshedDate="46258.854910995367" createdVersion="8" refreshedVersion="8" minRefreshableVersion="3" recordCount="500" xr:uid="{881F1634-E052-42B3-AD98-EF91123DAF41}">
  <cacheSource type="worksheet">
    <worksheetSource name="SalesTable"/>
  </cacheSource>
  <cacheFields count="16">
    <cacheField name="Order ID" numFmtId="0">
      <sharedItems count="5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haredItems>
    </cacheField>
    <cacheField name="Order Date" numFmtId="164">
      <sharedItems containsSemiMixedTypes="0" containsNonDate="0" containsDate="1" containsString="0" minDate="2024-01-03T00:00:00" maxDate="2025-01-01T00:00:00" count="273">
        <d v="2024-11-23T00:00:00"/>
        <d v="2024-10-29T00:00:00"/>
        <d v="2024-11-28T00:00:00"/>
        <d v="2024-05-22T00:00:00"/>
        <d v="2024-05-15T00:00:00"/>
        <d v="2024-10-22T00:00:00"/>
        <d v="2024-11-21T00:00:00"/>
        <d v="2024-12-16T00:00:00"/>
        <d v="2024-06-10T00:00:00"/>
        <d v="2024-05-14T00:00:00"/>
        <d v="2024-11-17T00:00:00"/>
        <d v="2024-01-06T00:00:00"/>
        <d v="2024-10-03T00:00:00"/>
        <d v="2024-01-30T00:00:00"/>
        <d v="2024-12-03T00:00:00"/>
        <d v="2024-06-08T00:00:00"/>
        <d v="2024-10-28T00:00:00"/>
        <d v="2024-09-20T00:00:00"/>
        <d v="2024-08-30T00:00:00"/>
        <d v="2024-08-27T00:00:00"/>
        <d v="2024-08-04T00:00:00"/>
        <d v="2024-11-29T00:00:00"/>
        <d v="2024-03-25T00:00:00"/>
        <d v="2024-09-06T00:00:00"/>
        <d v="2024-01-26T00:00:00"/>
        <d v="2024-04-30T00:00:00"/>
        <d v="2024-12-02T00:00:00"/>
        <d v="2024-06-27T00:00:00"/>
        <d v="2024-09-27T00:00:00"/>
        <d v="2024-05-19T00:00:00"/>
        <d v="2024-01-27T00:00:00"/>
        <d v="2024-08-14T00:00:00"/>
        <d v="2024-08-08T00:00:00"/>
        <d v="2024-10-13T00:00:00"/>
        <d v="2024-04-01T00:00:00"/>
        <d v="2024-08-28T00:00:00"/>
        <d v="2024-01-13T00:00:00"/>
        <d v="2024-01-15T00:00:00"/>
        <d v="2024-11-06T00:00:00"/>
        <d v="2024-12-17T00:00:00"/>
        <d v="2024-06-07T00:00:00"/>
        <d v="2024-03-30T00:00:00"/>
        <d v="2024-12-01T00:00:00"/>
        <d v="2024-02-13T00:00:00"/>
        <d v="2024-01-24T00:00:00"/>
        <d v="2024-12-22T00:00:00"/>
        <d v="2024-04-22T00:00:00"/>
        <d v="2024-10-31T00:00:00"/>
        <d v="2024-08-31T00:00:00"/>
        <d v="2024-12-31T00:00:00"/>
        <d v="2024-03-19T00:00:00"/>
        <d v="2024-10-26T00:00:00"/>
        <d v="2024-10-06T00:00:00"/>
        <d v="2024-11-25T00:00:00"/>
        <d v="2024-06-21T00:00:00"/>
        <d v="2024-06-28T00:00:00"/>
        <d v="2024-03-26T00:00:00"/>
        <d v="2024-04-11T00:00:00"/>
        <d v="2024-06-26T00:00:00"/>
        <d v="2024-07-04T00:00:00"/>
        <d v="2024-08-26T00:00:00"/>
        <d v="2024-11-08T00:00:00"/>
        <d v="2024-05-23T00:00:00"/>
        <d v="2024-12-19T00:00:00"/>
        <d v="2024-12-05T00:00:00"/>
        <d v="2024-08-20T00:00:00"/>
        <d v="2024-04-04T00:00:00"/>
        <d v="2024-02-21T00:00:00"/>
        <d v="2024-01-28T00:00:00"/>
        <d v="2024-08-13T00:00:00"/>
        <d v="2024-11-13T00:00:00"/>
        <d v="2024-03-29T00:00:00"/>
        <d v="2024-12-27T00:00:00"/>
        <d v="2024-02-28T00:00:00"/>
        <d v="2024-10-18T00:00:00"/>
        <d v="2024-08-12T00:00:00"/>
        <d v="2024-01-11T00:00:00"/>
        <d v="2024-06-17T00:00:00"/>
        <d v="2024-02-29T00:00:00"/>
        <d v="2024-09-12T00:00:00"/>
        <d v="2024-03-01T00:00:00"/>
        <d v="2024-05-04T00:00:00"/>
        <d v="2024-07-31T00:00:00"/>
        <d v="2024-08-16T00:00:00"/>
        <d v="2024-05-02T00:00:00"/>
        <d v="2024-11-15T00:00:00"/>
        <d v="2024-01-19T00:00:00"/>
        <d v="2024-12-26T00:00:00"/>
        <d v="2024-07-10T00:00:00"/>
        <d v="2024-12-07T00:00:00"/>
        <d v="2024-07-14T00:00:00"/>
        <d v="2024-10-16T00:00:00"/>
        <d v="2024-05-08T00:00:00"/>
        <d v="2024-03-08T00:00:00"/>
        <d v="2024-09-13T00:00:00"/>
        <d v="2024-02-08T00:00:00"/>
        <d v="2024-10-01T00:00:00"/>
        <d v="2024-12-11T00:00:00"/>
        <d v="2024-08-25T00:00:00"/>
        <d v="2024-10-02T00:00:00"/>
        <d v="2024-02-20T00:00:00"/>
        <d v="2024-02-16T00:00:00"/>
        <d v="2024-10-10T00:00:00"/>
        <d v="2024-05-21T00:00:00"/>
        <d v="2024-05-01T00:00:00"/>
        <d v="2024-08-17T00:00:00"/>
        <d v="2024-08-22T00:00:00"/>
        <d v="2024-02-11T00:00:00"/>
        <d v="2024-11-01T00:00:00"/>
        <d v="2024-04-20T00:00:00"/>
        <d v="2024-08-06T00:00:00"/>
        <d v="2024-08-09T00:00:00"/>
        <d v="2024-03-03T00:00:00"/>
        <d v="2024-02-23T00:00:00"/>
        <d v="2024-10-20T00:00:00"/>
        <d v="2024-12-21T00:00:00"/>
        <d v="2024-06-23T00:00:00"/>
        <d v="2024-11-12T00:00:00"/>
        <d v="2024-11-02T00:00:00"/>
        <d v="2024-09-11T00:00:00"/>
        <d v="2024-07-22T00:00:00"/>
        <d v="2024-08-11T00:00:00"/>
        <d v="2024-06-19T00:00:00"/>
        <d v="2024-11-26T00:00:00"/>
        <d v="2024-06-29T00:00:00"/>
        <d v="2024-11-05T00:00:00"/>
        <d v="2024-05-24T00:00:00"/>
        <d v="2024-02-18T00:00:00"/>
        <d v="2024-12-09T00:00:00"/>
        <d v="2024-04-08T00:00:00"/>
        <d v="2024-12-04T00:00:00"/>
        <d v="2024-09-30T00:00:00"/>
        <d v="2024-04-23T00:00:00"/>
        <d v="2024-05-26T00:00:00"/>
        <d v="2024-11-14T00:00:00"/>
        <d v="2024-03-14T00:00:00"/>
        <d v="2024-07-03T00:00:00"/>
        <d v="2024-01-09T00:00:00"/>
        <d v="2024-03-04T00:00:00"/>
        <d v="2024-09-22T00:00:00"/>
        <d v="2024-06-13T00:00:00"/>
        <d v="2024-08-15T00:00:00"/>
        <d v="2024-03-05T00:00:00"/>
        <d v="2024-12-13T00:00:00"/>
        <d v="2024-05-13T00:00:00"/>
        <d v="2024-02-07T00:00:00"/>
        <d v="2024-09-17T00:00:00"/>
        <d v="2024-07-07T00:00:00"/>
        <d v="2024-07-29T00:00:00"/>
        <d v="2024-03-06T00:00:00"/>
        <d v="2024-12-29T00:00:00"/>
        <d v="2024-05-05T00:00:00"/>
        <d v="2024-07-08T00:00:00"/>
        <d v="2024-07-15T00:00:00"/>
        <d v="2024-12-14T00:00:00"/>
        <d v="2024-06-06T00:00:00"/>
        <d v="2024-09-25T00:00:00"/>
        <d v="2024-02-01T00:00:00"/>
        <d v="2024-06-24T00:00:00"/>
        <d v="2024-11-11T00:00:00"/>
        <d v="2024-08-29T00:00:00"/>
        <d v="2024-08-01T00:00:00"/>
        <d v="2024-01-05T00:00:00"/>
        <d v="2024-03-09T00:00:00"/>
        <d v="2024-04-05T00:00:00"/>
        <d v="2024-11-30T00:00:00"/>
        <d v="2024-04-13T00:00:00"/>
        <d v="2024-12-24T00:00:00"/>
        <d v="2024-12-15T00:00:00"/>
        <d v="2024-01-12T00:00:00"/>
        <d v="2024-04-15T00:00:00"/>
        <d v="2024-01-23T00:00:00"/>
        <d v="2024-10-21T00:00:00"/>
        <d v="2024-10-12T00:00:00"/>
        <d v="2024-12-28T00:00:00"/>
        <d v="2024-05-17T00:00:00"/>
        <d v="2024-07-02T00:00:00"/>
        <d v="2024-04-14T00:00:00"/>
        <d v="2024-10-23T00:00:00"/>
        <d v="2024-01-18T00:00:00"/>
        <d v="2024-04-21T00:00:00"/>
        <d v="2024-02-24T00:00:00"/>
        <d v="2024-07-26T00:00:00"/>
        <d v="2024-05-18T00:00:00"/>
        <d v="2024-04-16T00:00:00"/>
        <d v="2024-01-16T00:00:00"/>
        <d v="2024-07-13T00:00:00"/>
        <d v="2024-07-18T00:00:00"/>
        <d v="2024-02-14T00:00:00"/>
        <d v="2024-02-17T00:00:00"/>
        <d v="2024-10-19T00:00:00"/>
        <d v="2024-06-09T00:00:00"/>
        <d v="2024-06-15T00:00:00"/>
        <d v="2024-04-02T00:00:00"/>
        <d v="2024-12-10T00:00:00"/>
        <d v="2024-11-22T00:00:00"/>
        <d v="2024-02-04T00:00:00"/>
        <d v="2024-04-19T00:00:00"/>
        <d v="2024-07-19T00:00:00"/>
        <d v="2024-07-17T00:00:00"/>
        <d v="2024-03-10T00:00:00"/>
        <d v="2024-03-27T00:00:00"/>
        <d v="2024-01-22T00:00:00"/>
        <d v="2024-08-18T00:00:00"/>
        <d v="2024-09-29T00:00:00"/>
        <d v="2024-12-30T00:00:00"/>
        <d v="2024-08-19T00:00:00"/>
        <d v="2024-10-24T00:00:00"/>
        <d v="2024-03-07T00:00:00"/>
        <d v="2024-05-20T00:00:00"/>
        <d v="2024-06-05T00:00:00"/>
        <d v="2024-02-06T00:00:00"/>
        <d v="2024-03-18T00:00:00"/>
        <d v="2024-08-07T00:00:00"/>
        <d v="2024-09-10T00:00:00"/>
        <d v="2024-01-07T00:00:00"/>
        <d v="2024-07-09T00:00:00"/>
        <d v="2024-05-10T00:00:00"/>
        <d v="2024-01-04T00:00:00"/>
        <d v="2024-10-27T00:00:00"/>
        <d v="2024-06-18T00:00:00"/>
        <d v="2024-11-10T00:00:00"/>
        <d v="2024-04-12T00:00:00"/>
        <d v="2024-01-29T00:00:00"/>
        <d v="2024-03-31T00:00:00"/>
        <d v="2024-12-06T00:00:00"/>
        <d v="2024-10-17T00:00:00"/>
        <d v="2024-07-16T00:00:00"/>
        <d v="2024-09-02T00:00:00"/>
        <d v="2024-07-20T00:00:00"/>
        <d v="2024-09-07T00:00:00"/>
        <d v="2024-12-08T00:00:00"/>
        <d v="2024-09-21T00:00:00"/>
        <d v="2024-06-12T00:00:00"/>
        <d v="2024-10-15T00:00:00"/>
        <d v="2024-02-25T00:00:00"/>
        <d v="2024-03-17T00:00:00"/>
        <d v="2024-05-30T00:00:00"/>
        <d v="2024-06-20T00:00:00"/>
        <d v="2024-03-02T00:00:00"/>
        <d v="2024-07-25T00:00:00"/>
        <d v="2024-07-06T00:00:00"/>
        <d v="2024-05-28T00:00:00"/>
        <d v="2024-04-03T00:00:00"/>
        <d v="2024-04-24T00:00:00"/>
        <d v="2024-11-20T00:00:00"/>
        <d v="2024-01-03T00:00:00"/>
        <d v="2024-05-07T00:00:00"/>
        <d v="2024-09-19T00:00:00"/>
        <d v="2024-06-25T00:00:00"/>
        <d v="2024-05-31T00:00:00"/>
        <d v="2024-11-27T00:00:00"/>
        <d v="2024-06-03T00:00:00"/>
        <d v="2024-03-22T00:00:00"/>
        <d v="2024-01-21T00:00:00"/>
        <d v="2024-08-10T00:00:00"/>
        <d v="2024-04-17T00:00:00"/>
        <d v="2024-02-05T00:00:00"/>
        <d v="2024-09-18T00:00:00"/>
        <d v="2024-01-10T00:00:00"/>
        <d v="2024-08-03T00:00:00"/>
        <d v="2024-07-28T00:00:00"/>
        <d v="2024-02-15T00:00:00"/>
        <d v="2024-04-09T00:00:00"/>
        <d v="2024-10-08T00:00:00"/>
        <d v="2024-05-11T00:00:00"/>
        <d v="2024-08-23T00:00:00"/>
        <d v="2024-07-30T00:00:00"/>
        <d v="2024-03-20T00:00:00"/>
        <d v="2024-11-18T00:00:00"/>
        <d v="2024-11-09T00:00:00"/>
        <d v="2024-02-22T00:00:00"/>
        <d v="2024-10-07T00:00:00"/>
      </sharedItems>
      <fieldGroup par="15"/>
    </cacheField>
    <cacheField name="Customer Name" numFmtId="0">
      <sharedItems/>
    </cacheField>
    <cacheField name="Region" numFmtId="0">
      <sharedItems count="4">
        <s v="North"/>
        <s v="West"/>
        <s v="South"/>
        <s v="East"/>
      </sharedItems>
    </cacheField>
    <cacheField name="State" numFmtId="0">
      <sharedItems/>
    </cacheField>
    <cacheField name="City" numFmtId="0">
      <sharedItems/>
    </cacheField>
    <cacheField name="Category" numFmtId="0">
      <sharedItems count="5">
        <s v="Home &amp; Kitchen"/>
        <s v="Electronics"/>
        <s v="Clothing"/>
        <s v="Sports"/>
        <s v="Beauty"/>
      </sharedItems>
    </cacheField>
    <cacheField name="Product" numFmtId="0">
      <sharedItems count="25">
        <s v="Air Fryer"/>
        <s v="Laptop"/>
        <s v="Shoes"/>
        <s v="Running Shoes"/>
        <s v="Jacket"/>
        <s v="Wireless Earbuds"/>
        <s v="Smart Watch"/>
        <s v="Smartphone"/>
        <s v="Jeans"/>
        <s v="Bedsheet"/>
        <s v="Lipstick"/>
        <s v="T-Shirt"/>
        <s v="Bluetooth Speaker"/>
        <s v="Backpack"/>
        <s v="Serum"/>
        <s v="Football"/>
        <s v="Badminton Racket"/>
        <s v="Cricket Bat"/>
        <s v="Facewash"/>
        <s v="Body Lotion"/>
        <s v="Mixer Grinder"/>
        <s v="Water Bottle"/>
        <s v="Cookware Set"/>
        <s v="Yoga Mat"/>
        <s v="Perfume"/>
      </sharedItems>
    </cacheField>
    <cacheField name="Quantity" numFmtId="0">
      <sharedItems containsSemiMixedTypes="0" containsString="0" containsNumber="1" containsInteger="1" minValue="1" maxValue="6"/>
    </cacheField>
    <cacheField name="Unit Price" numFmtId="165">
      <sharedItems containsSemiMixedTypes="0" containsString="0" containsNumber="1" minValue="409.09" maxValue="60337.440000000002"/>
    </cacheField>
    <cacheField name="Sales" numFmtId="165">
      <sharedItems containsSemiMixedTypes="0" containsString="0" containsNumber="1" minValue="409.09" maxValue="331402.56"/>
    </cacheField>
    <cacheField name="Cost" numFmtId="165">
      <sharedItems containsSemiMixedTypes="0" containsString="0" containsNumber="1" minValue="294.25" maxValue="268147.65000000002"/>
    </cacheField>
    <cacheField name="Profit" numFmtId="165">
      <sharedItems containsSemiMixedTypes="0" containsString="0" containsNumber="1" minValue="67.569999999999993" maxValue="97244.1"/>
    </cacheField>
    <cacheField name="Payment Mode" numFmtId="0">
      <sharedItems count="6">
        <s v="UPI"/>
        <s v="Wallet"/>
        <s v="Debit Card"/>
        <s v="Net Banking"/>
        <s v="COD"/>
        <s v="Credit Card"/>
      </sharedItems>
    </cacheField>
    <cacheField name="Days (Order Date)" numFmtId="0" databaseField="0">
      <fieldGroup base="1">
        <rangePr groupBy="days" startDate="2024-01-03T00:00:00" endDate="2025-01-01T00:00:00"/>
        <groupItems count="368">
          <s v="&lt;03-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 Date)" numFmtId="0" databaseField="0">
      <fieldGroup base="1">
        <rangePr groupBy="months" startDate="2024-01-03T00:00:00" endDate="2025-01-01T00:00:00"/>
        <groupItems count="14">
          <s v="&lt;03-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252286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Kavya Reddy"/>
    <x v="0"/>
    <s v="Delhi"/>
    <s v="New Delhi"/>
    <x v="0"/>
    <x v="0"/>
    <n v="2"/>
    <n v="6031.4"/>
    <n v="12062.8"/>
    <n v="8449.98"/>
    <n v="3612.82"/>
    <x v="0"/>
  </r>
  <r>
    <x v="1"/>
    <x v="1"/>
    <s v="Aditya Kumar"/>
    <x v="1"/>
    <s v="Maharashtra"/>
    <s v="Mumbai"/>
    <x v="1"/>
    <x v="1"/>
    <n v="2"/>
    <n v="55058.91"/>
    <n v="110117.82"/>
    <n v="75464.53"/>
    <n v="34653.29"/>
    <x v="1"/>
  </r>
  <r>
    <x v="2"/>
    <x v="2"/>
    <s v="Meera Kulkarni"/>
    <x v="1"/>
    <s v="Gujarat"/>
    <s v="Ahmedabad"/>
    <x v="2"/>
    <x v="2"/>
    <n v="1"/>
    <n v="2629.4"/>
    <n v="2629.4"/>
    <n v="1871.95"/>
    <n v="757.45"/>
    <x v="2"/>
  </r>
  <r>
    <x v="3"/>
    <x v="3"/>
    <s v="Isha Nair"/>
    <x v="2"/>
    <s v="Tamil Nadu"/>
    <s v="Chennai"/>
    <x v="3"/>
    <x v="3"/>
    <n v="1"/>
    <n v="2571.94"/>
    <n v="2571.94"/>
    <n v="1798.67"/>
    <n v="773.27"/>
    <x v="3"/>
  </r>
  <r>
    <x v="4"/>
    <x v="4"/>
    <s v="Simran Kaur"/>
    <x v="0"/>
    <s v="Rajasthan"/>
    <s v="Jaipur"/>
    <x v="2"/>
    <x v="4"/>
    <n v="1"/>
    <n v="3233.31"/>
    <n v="3233.31"/>
    <n v="2735"/>
    <n v="498.31"/>
    <x v="2"/>
  </r>
  <r>
    <x v="5"/>
    <x v="5"/>
    <s v="Priya Singh"/>
    <x v="2"/>
    <s v="Karnataka"/>
    <s v="Bengaluru"/>
    <x v="1"/>
    <x v="1"/>
    <n v="3"/>
    <n v="60337.440000000002"/>
    <n v="181012.32"/>
    <n v="154052.99"/>
    <n v="26959.33"/>
    <x v="4"/>
  </r>
  <r>
    <x v="6"/>
    <x v="3"/>
    <s v="Rahul Verma"/>
    <x v="1"/>
    <s v="Goa"/>
    <s v="Panaji"/>
    <x v="1"/>
    <x v="5"/>
    <n v="2"/>
    <n v="2585.09"/>
    <n v="5170.18"/>
    <n v="4241.43"/>
    <n v="928.75"/>
    <x v="3"/>
  </r>
  <r>
    <x v="7"/>
    <x v="6"/>
    <s v="Kavya Reddy"/>
    <x v="2"/>
    <s v="Tamil Nadu"/>
    <s v="Chennai"/>
    <x v="1"/>
    <x v="6"/>
    <n v="3"/>
    <n v="4940.57"/>
    <n v="14821.71"/>
    <n v="11975.94"/>
    <n v="2845.77"/>
    <x v="5"/>
  </r>
  <r>
    <x v="8"/>
    <x v="7"/>
    <s v="Nikhil Yadav"/>
    <x v="3"/>
    <s v="West Bengal"/>
    <s v="Kolkata"/>
    <x v="1"/>
    <x v="7"/>
    <n v="3"/>
    <n v="17644.189999999999"/>
    <n v="52932.57"/>
    <n v="36694.85"/>
    <n v="16237.72"/>
    <x v="1"/>
  </r>
  <r>
    <x v="9"/>
    <x v="8"/>
    <s v="Kavya Reddy"/>
    <x v="2"/>
    <s v="Kerala"/>
    <s v="Kochi"/>
    <x v="2"/>
    <x v="4"/>
    <n v="2"/>
    <n v="3049.52"/>
    <n v="6099.04"/>
    <n v="4448.1899999999996"/>
    <n v="1650.85"/>
    <x v="3"/>
  </r>
  <r>
    <x v="10"/>
    <x v="9"/>
    <s v="Priya Singh"/>
    <x v="1"/>
    <s v="Rajasthan"/>
    <s v="Udaipur"/>
    <x v="2"/>
    <x v="8"/>
    <n v="5"/>
    <n v="1597.93"/>
    <n v="7989.65"/>
    <n v="6640.65"/>
    <n v="1349"/>
    <x v="5"/>
  </r>
  <r>
    <x v="11"/>
    <x v="10"/>
    <s v="Vikram Shah"/>
    <x v="2"/>
    <s v="Kerala"/>
    <s v="Kochi"/>
    <x v="0"/>
    <x v="9"/>
    <n v="4"/>
    <n v="1223.01"/>
    <n v="4892.04"/>
    <n v="3784.53"/>
    <n v="1107.51"/>
    <x v="3"/>
  </r>
  <r>
    <x v="12"/>
    <x v="11"/>
    <s v="Aarav Sharma"/>
    <x v="0"/>
    <s v="Haryana"/>
    <s v="Gurugram"/>
    <x v="4"/>
    <x v="10"/>
    <n v="1"/>
    <n v="623.16"/>
    <n v="623.16"/>
    <n v="443.46"/>
    <n v="179.7"/>
    <x v="1"/>
  </r>
  <r>
    <x v="13"/>
    <x v="9"/>
    <s v="Isha Nair"/>
    <x v="2"/>
    <s v="Karnataka"/>
    <s v="Bengaluru"/>
    <x v="4"/>
    <x v="10"/>
    <n v="6"/>
    <n v="651"/>
    <n v="3906"/>
    <n v="2811.47"/>
    <n v="1094.53"/>
    <x v="5"/>
  </r>
  <r>
    <x v="14"/>
    <x v="12"/>
    <s v="Pooja Mehta"/>
    <x v="0"/>
    <s v="Haryana"/>
    <s v="Gurugram"/>
    <x v="2"/>
    <x v="11"/>
    <n v="3"/>
    <n v="753.02"/>
    <n v="2259.06"/>
    <n v="1911.92"/>
    <n v="347.14"/>
    <x v="5"/>
  </r>
  <r>
    <x v="15"/>
    <x v="13"/>
    <s v="Rohan Deshmukh"/>
    <x v="2"/>
    <s v="Karnataka"/>
    <s v="Bengaluru"/>
    <x v="1"/>
    <x v="6"/>
    <n v="1"/>
    <n v="4930.1899999999996"/>
    <n v="4930.1899999999996"/>
    <n v="3877.8"/>
    <n v="1052.3900000000001"/>
    <x v="5"/>
  </r>
  <r>
    <x v="16"/>
    <x v="14"/>
    <s v="Aditya Kumar"/>
    <x v="1"/>
    <s v="Gujarat"/>
    <s v="Ahmedabad"/>
    <x v="1"/>
    <x v="12"/>
    <n v="4"/>
    <n v="3278.62"/>
    <n v="13114.48"/>
    <n v="11354.29"/>
    <n v="1760.19"/>
    <x v="1"/>
  </r>
  <r>
    <x v="17"/>
    <x v="15"/>
    <s v="Karan Malhotra"/>
    <x v="1"/>
    <s v="Goa"/>
    <s v="Panaji"/>
    <x v="2"/>
    <x v="13"/>
    <n v="4"/>
    <n v="1293.8800000000001"/>
    <n v="5175.5200000000004"/>
    <n v="3751.94"/>
    <n v="1423.58"/>
    <x v="0"/>
  </r>
  <r>
    <x v="18"/>
    <x v="16"/>
    <s v="Karan Malhotra"/>
    <x v="2"/>
    <s v="Tamil Nadu"/>
    <s v="Chennai"/>
    <x v="1"/>
    <x v="7"/>
    <n v="2"/>
    <n v="16442.64"/>
    <n v="32885.279999999999"/>
    <n v="22568.6"/>
    <n v="10316.68"/>
    <x v="0"/>
  </r>
  <r>
    <x v="19"/>
    <x v="17"/>
    <s v="Nikhil Yadav"/>
    <x v="2"/>
    <s v="Telangana"/>
    <s v="Hyderabad"/>
    <x v="0"/>
    <x v="0"/>
    <n v="5"/>
    <n v="6022.01"/>
    <n v="30110.05"/>
    <n v="26108.51"/>
    <n v="4001.54"/>
    <x v="3"/>
  </r>
  <r>
    <x v="20"/>
    <x v="18"/>
    <s v="Meera Kulkarni"/>
    <x v="2"/>
    <s v="Kerala"/>
    <s v="Kochi"/>
    <x v="4"/>
    <x v="14"/>
    <n v="1"/>
    <n v="827.45"/>
    <n v="827.45"/>
    <n v="634"/>
    <n v="193.45"/>
    <x v="4"/>
  </r>
  <r>
    <x v="21"/>
    <x v="19"/>
    <s v="Sahil Khan"/>
    <x v="0"/>
    <s v="Delhi"/>
    <s v="New Delhi"/>
    <x v="1"/>
    <x v="5"/>
    <n v="1"/>
    <n v="2374.33"/>
    <n v="2374.33"/>
    <n v="1704.87"/>
    <n v="669.46"/>
    <x v="5"/>
  </r>
  <r>
    <x v="22"/>
    <x v="20"/>
    <s v="Priya Singh"/>
    <x v="2"/>
    <s v="Telangana"/>
    <s v="Hyderabad"/>
    <x v="2"/>
    <x v="11"/>
    <n v="4"/>
    <n v="743.12"/>
    <n v="2972.48"/>
    <n v="2530.16"/>
    <n v="442.32"/>
    <x v="0"/>
  </r>
  <r>
    <x v="23"/>
    <x v="21"/>
    <s v="Arjun Rao"/>
    <x v="0"/>
    <s v="Delhi"/>
    <s v="New Delhi"/>
    <x v="3"/>
    <x v="15"/>
    <n v="2"/>
    <n v="883.15"/>
    <n v="1766.3"/>
    <n v="1371.13"/>
    <n v="395.17"/>
    <x v="0"/>
  </r>
  <r>
    <x v="24"/>
    <x v="22"/>
    <s v="Kavya Reddy"/>
    <x v="1"/>
    <s v="Maharashtra"/>
    <s v="Mumbai"/>
    <x v="3"/>
    <x v="3"/>
    <n v="4"/>
    <n v="2679.74"/>
    <n v="10718.96"/>
    <n v="8782.24"/>
    <n v="1936.72"/>
    <x v="1"/>
  </r>
  <r>
    <x v="25"/>
    <x v="23"/>
    <s v="Karan Malhotra"/>
    <x v="2"/>
    <s v="Tamil Nadu"/>
    <s v="Chennai"/>
    <x v="1"/>
    <x v="7"/>
    <n v="5"/>
    <n v="18848.650000000001"/>
    <n v="94243.25"/>
    <n v="65234.38"/>
    <n v="29008.87"/>
    <x v="0"/>
  </r>
  <r>
    <x v="26"/>
    <x v="24"/>
    <s v="Rahul Verma"/>
    <x v="1"/>
    <s v="Gujarat"/>
    <s v="Ahmedabad"/>
    <x v="1"/>
    <x v="12"/>
    <n v="1"/>
    <n v="3210.81"/>
    <n v="3210.81"/>
    <n v="2227.35"/>
    <n v="983.46"/>
    <x v="1"/>
  </r>
  <r>
    <x v="27"/>
    <x v="25"/>
    <s v="Rahul Verma"/>
    <x v="1"/>
    <s v="Maharashtra"/>
    <s v="Mumbai"/>
    <x v="3"/>
    <x v="16"/>
    <n v="2"/>
    <n v="1625.25"/>
    <n v="3250.5"/>
    <n v="2236.1799999999998"/>
    <n v="1014.32"/>
    <x v="4"/>
  </r>
  <r>
    <x v="28"/>
    <x v="26"/>
    <s v="Pooja Mehta"/>
    <x v="3"/>
    <s v="Odisha"/>
    <s v="Bhubaneswar"/>
    <x v="1"/>
    <x v="5"/>
    <n v="2"/>
    <n v="2382.81"/>
    <n v="4765.62"/>
    <n v="3365.36"/>
    <n v="1400.26"/>
    <x v="4"/>
  </r>
  <r>
    <x v="29"/>
    <x v="8"/>
    <s v="Vikram Shah"/>
    <x v="0"/>
    <s v="Delhi"/>
    <s v="New Delhi"/>
    <x v="2"/>
    <x v="13"/>
    <n v="1"/>
    <n v="1280.51"/>
    <n v="1280.51"/>
    <n v="925.34"/>
    <n v="355.17"/>
    <x v="5"/>
  </r>
  <r>
    <x v="30"/>
    <x v="27"/>
    <s v="Simran Kaur"/>
    <x v="0"/>
    <s v="Punjab"/>
    <s v="Ludhiana"/>
    <x v="2"/>
    <x v="8"/>
    <n v="4"/>
    <n v="1706.8"/>
    <n v="6827.2"/>
    <n v="5603.14"/>
    <n v="1224.06"/>
    <x v="1"/>
  </r>
  <r>
    <x v="31"/>
    <x v="28"/>
    <s v="Kavya Reddy"/>
    <x v="0"/>
    <s v="Haryana"/>
    <s v="Gurugram"/>
    <x v="3"/>
    <x v="17"/>
    <n v="2"/>
    <n v="2096.37"/>
    <n v="4192.74"/>
    <n v="3597.13"/>
    <n v="595.61"/>
    <x v="5"/>
  </r>
  <r>
    <x v="32"/>
    <x v="29"/>
    <s v="Riya Das"/>
    <x v="3"/>
    <s v="Bihar"/>
    <s v="Patna"/>
    <x v="0"/>
    <x v="0"/>
    <n v="6"/>
    <n v="6674.51"/>
    <n v="40047.06"/>
    <n v="29346.36"/>
    <n v="10700.7"/>
    <x v="2"/>
  </r>
  <r>
    <x v="33"/>
    <x v="30"/>
    <s v="Vikram Shah"/>
    <x v="0"/>
    <s v="Rajasthan"/>
    <s v="Jaipur"/>
    <x v="4"/>
    <x v="18"/>
    <n v="1"/>
    <n v="435.02"/>
    <n v="435.02"/>
    <n v="307.2"/>
    <n v="127.82"/>
    <x v="5"/>
  </r>
  <r>
    <x v="34"/>
    <x v="31"/>
    <s v="Kavya Reddy"/>
    <x v="1"/>
    <s v="Maharashtra"/>
    <s v="Mumbai"/>
    <x v="1"/>
    <x v="1"/>
    <n v="5"/>
    <n v="49896.31"/>
    <n v="249481.55"/>
    <n v="188069.97"/>
    <n v="61411.58"/>
    <x v="5"/>
  </r>
  <r>
    <x v="35"/>
    <x v="32"/>
    <s v="Priya Singh"/>
    <x v="2"/>
    <s v="Karnataka"/>
    <s v="Bengaluru"/>
    <x v="2"/>
    <x v="11"/>
    <n v="3"/>
    <n v="659.41"/>
    <n v="1978.23"/>
    <n v="1443.92"/>
    <n v="534.30999999999995"/>
    <x v="2"/>
  </r>
  <r>
    <x v="36"/>
    <x v="33"/>
    <s v="Meera Kulkarni"/>
    <x v="1"/>
    <s v="Gujarat"/>
    <s v="Ahmedabad"/>
    <x v="3"/>
    <x v="15"/>
    <n v="2"/>
    <n v="985.72"/>
    <n v="1971.44"/>
    <n v="1660.26"/>
    <n v="311.18"/>
    <x v="0"/>
  </r>
  <r>
    <x v="37"/>
    <x v="34"/>
    <s v="Arjun Rao"/>
    <x v="3"/>
    <s v="Assam"/>
    <s v="Guwahati"/>
    <x v="4"/>
    <x v="14"/>
    <n v="3"/>
    <n v="838.66"/>
    <n v="2515.98"/>
    <n v="2063.75"/>
    <n v="452.23"/>
    <x v="0"/>
  </r>
  <r>
    <x v="38"/>
    <x v="35"/>
    <s v="Neha Gupta"/>
    <x v="2"/>
    <s v="Tamil Nadu"/>
    <s v="Chennai"/>
    <x v="4"/>
    <x v="19"/>
    <n v="3"/>
    <n v="528.57000000000005"/>
    <n v="1585.71"/>
    <n v="1330.52"/>
    <n v="255.19"/>
    <x v="5"/>
  </r>
  <r>
    <x v="39"/>
    <x v="36"/>
    <s v="Kavya Reddy"/>
    <x v="2"/>
    <s v="Kerala"/>
    <s v="Kochi"/>
    <x v="2"/>
    <x v="11"/>
    <n v="3"/>
    <n v="679.16"/>
    <n v="2037.48"/>
    <n v="1593.07"/>
    <n v="444.41"/>
    <x v="2"/>
  </r>
  <r>
    <x v="40"/>
    <x v="37"/>
    <s v="Karan Malhotra"/>
    <x v="0"/>
    <s v="Haryana"/>
    <s v="Gurugram"/>
    <x v="1"/>
    <x v="5"/>
    <n v="1"/>
    <n v="2304.1999999999998"/>
    <n v="2304.1999999999998"/>
    <n v="1767.12"/>
    <n v="537.08000000000004"/>
    <x v="4"/>
  </r>
  <r>
    <x v="41"/>
    <x v="38"/>
    <s v="Aman Jain"/>
    <x v="0"/>
    <s v="Rajasthan"/>
    <s v="Jaipur"/>
    <x v="4"/>
    <x v="14"/>
    <n v="3"/>
    <n v="817.99"/>
    <n v="2453.9699999999998"/>
    <n v="1882.71"/>
    <n v="571.26"/>
    <x v="3"/>
  </r>
  <r>
    <x v="42"/>
    <x v="39"/>
    <s v="Pooja Mehta"/>
    <x v="2"/>
    <s v="Telangana"/>
    <s v="Hyderabad"/>
    <x v="2"/>
    <x v="2"/>
    <n v="5"/>
    <n v="2406.96"/>
    <n v="12034.8"/>
    <n v="10224.799999999999"/>
    <n v="1810"/>
    <x v="3"/>
  </r>
  <r>
    <x v="43"/>
    <x v="40"/>
    <s v="Arjun Rao"/>
    <x v="1"/>
    <s v="Goa"/>
    <s v="Panaji"/>
    <x v="2"/>
    <x v="2"/>
    <n v="5"/>
    <n v="2313.64"/>
    <n v="11568.2"/>
    <n v="8839.14"/>
    <n v="2729.06"/>
    <x v="1"/>
  </r>
  <r>
    <x v="44"/>
    <x v="41"/>
    <s v="Nikhil Yadav"/>
    <x v="3"/>
    <s v="Assam"/>
    <s v="Guwahati"/>
    <x v="2"/>
    <x v="11"/>
    <n v="3"/>
    <n v="670.17"/>
    <n v="2010.51"/>
    <n v="1540.01"/>
    <n v="470.5"/>
    <x v="3"/>
  </r>
  <r>
    <x v="45"/>
    <x v="42"/>
    <s v="Sneha Joshi"/>
    <x v="3"/>
    <s v="Assam"/>
    <s v="Guwahati"/>
    <x v="2"/>
    <x v="8"/>
    <n v="5"/>
    <n v="1591.42"/>
    <n v="7957.1"/>
    <n v="6844.99"/>
    <n v="1112.1099999999999"/>
    <x v="1"/>
  </r>
  <r>
    <x v="46"/>
    <x v="43"/>
    <s v="Rohan Deshmukh"/>
    <x v="3"/>
    <s v="Odisha"/>
    <s v="Bhubaneswar"/>
    <x v="1"/>
    <x v="1"/>
    <n v="6"/>
    <n v="52914.61"/>
    <n v="317487.65999999997"/>
    <n v="267106.36"/>
    <n v="50381.3"/>
    <x v="0"/>
  </r>
  <r>
    <x v="47"/>
    <x v="44"/>
    <s v="Aditya Kumar"/>
    <x v="2"/>
    <s v="Kerala"/>
    <s v="Kochi"/>
    <x v="0"/>
    <x v="20"/>
    <n v="4"/>
    <n v="2752.09"/>
    <n v="11008.36"/>
    <n v="8872.2199999999993"/>
    <n v="2136.14"/>
    <x v="1"/>
  </r>
  <r>
    <x v="48"/>
    <x v="45"/>
    <s v="Priya Singh"/>
    <x v="1"/>
    <s v="Rajasthan"/>
    <s v="Udaipur"/>
    <x v="2"/>
    <x v="8"/>
    <n v="6"/>
    <n v="1660.04"/>
    <n v="9960.24"/>
    <n v="8551.18"/>
    <n v="1409.06"/>
    <x v="4"/>
  </r>
  <r>
    <x v="49"/>
    <x v="46"/>
    <s v="Aman Jain"/>
    <x v="2"/>
    <s v="Kerala"/>
    <s v="Kochi"/>
    <x v="1"/>
    <x v="1"/>
    <n v="1"/>
    <n v="54521.08"/>
    <n v="54521.08"/>
    <n v="45813.15"/>
    <n v="8707.93"/>
    <x v="3"/>
  </r>
  <r>
    <x v="50"/>
    <x v="47"/>
    <s v="Sneha Joshi"/>
    <x v="3"/>
    <s v="Assam"/>
    <s v="Guwahati"/>
    <x v="0"/>
    <x v="21"/>
    <n v="4"/>
    <n v="639.66999999999996"/>
    <n v="2558.6799999999998"/>
    <n v="2020.27"/>
    <n v="538.41"/>
    <x v="1"/>
  </r>
  <r>
    <x v="51"/>
    <x v="48"/>
    <s v="Sahil Khan"/>
    <x v="1"/>
    <s v="Goa"/>
    <s v="Panaji"/>
    <x v="4"/>
    <x v="10"/>
    <n v="5"/>
    <n v="648"/>
    <n v="3240"/>
    <n v="2358.23"/>
    <n v="881.77"/>
    <x v="0"/>
  </r>
  <r>
    <x v="52"/>
    <x v="49"/>
    <s v="Arjun Rao"/>
    <x v="3"/>
    <s v="Bihar"/>
    <s v="Patna"/>
    <x v="1"/>
    <x v="5"/>
    <n v="5"/>
    <n v="2290.29"/>
    <n v="11451.45"/>
    <n v="8132.43"/>
    <n v="3319.02"/>
    <x v="1"/>
  </r>
  <r>
    <x v="53"/>
    <x v="50"/>
    <s v="Meera Kulkarni"/>
    <x v="2"/>
    <s v="Karnataka"/>
    <s v="Bengaluru"/>
    <x v="2"/>
    <x v="2"/>
    <n v="5"/>
    <n v="2482.96"/>
    <n v="12414.8"/>
    <n v="8596.67"/>
    <n v="3818.13"/>
    <x v="4"/>
  </r>
  <r>
    <x v="54"/>
    <x v="51"/>
    <s v="Meera Kulkarni"/>
    <x v="0"/>
    <s v="Rajasthan"/>
    <s v="Jaipur"/>
    <x v="2"/>
    <x v="2"/>
    <n v="3"/>
    <n v="2626.74"/>
    <n v="7880.22"/>
    <n v="6703.62"/>
    <n v="1176.5999999999999"/>
    <x v="3"/>
  </r>
  <r>
    <x v="55"/>
    <x v="52"/>
    <s v="Arjun Rao"/>
    <x v="2"/>
    <s v="Kerala"/>
    <s v="Kochi"/>
    <x v="1"/>
    <x v="6"/>
    <n v="4"/>
    <n v="4076.12"/>
    <n v="16304.48"/>
    <n v="12183.13"/>
    <n v="4121.3500000000004"/>
    <x v="1"/>
  </r>
  <r>
    <x v="56"/>
    <x v="22"/>
    <s v="Aarav Sharma"/>
    <x v="1"/>
    <s v="Gujarat"/>
    <s v="Ahmedabad"/>
    <x v="3"/>
    <x v="16"/>
    <n v="1"/>
    <n v="1730.22"/>
    <n v="1730.22"/>
    <n v="1381.37"/>
    <n v="348.85"/>
    <x v="0"/>
  </r>
  <r>
    <x v="57"/>
    <x v="53"/>
    <s v="Sahil Khan"/>
    <x v="1"/>
    <s v="Gujarat"/>
    <s v="Ahmedabad"/>
    <x v="4"/>
    <x v="14"/>
    <n v="1"/>
    <n v="856.83"/>
    <n v="856.83"/>
    <n v="638.74"/>
    <n v="218.09"/>
    <x v="2"/>
  </r>
  <r>
    <x v="58"/>
    <x v="54"/>
    <s v="Kavya Reddy"/>
    <x v="1"/>
    <s v="Goa"/>
    <s v="Panaji"/>
    <x v="4"/>
    <x v="19"/>
    <n v="3"/>
    <n v="586.84"/>
    <n v="1760.52"/>
    <n v="1362.75"/>
    <n v="397.77"/>
    <x v="0"/>
  </r>
  <r>
    <x v="59"/>
    <x v="55"/>
    <s v="Aarav Sharma"/>
    <x v="2"/>
    <s v="Karnataka"/>
    <s v="Bengaluru"/>
    <x v="4"/>
    <x v="18"/>
    <n v="1"/>
    <n v="490.47"/>
    <n v="490.47"/>
    <n v="353.08"/>
    <n v="137.38999999999999"/>
    <x v="3"/>
  </r>
  <r>
    <x v="60"/>
    <x v="50"/>
    <s v="Vikram Shah"/>
    <x v="2"/>
    <s v="Tamil Nadu"/>
    <s v="Chennai"/>
    <x v="2"/>
    <x v="11"/>
    <n v="5"/>
    <n v="762.69"/>
    <n v="3813.45"/>
    <n v="2947.82"/>
    <n v="865.63"/>
    <x v="2"/>
  </r>
  <r>
    <x v="61"/>
    <x v="56"/>
    <s v="Arjun Rao"/>
    <x v="0"/>
    <s v="Punjab"/>
    <s v="Ludhiana"/>
    <x v="3"/>
    <x v="17"/>
    <n v="5"/>
    <n v="1991.3"/>
    <n v="9956.5"/>
    <n v="7391.62"/>
    <n v="2564.88"/>
    <x v="4"/>
  </r>
  <r>
    <x v="62"/>
    <x v="57"/>
    <s v="Nikhil Yadav"/>
    <x v="0"/>
    <s v="Punjab"/>
    <s v="Ludhiana"/>
    <x v="1"/>
    <x v="5"/>
    <n v="6"/>
    <n v="2550.21"/>
    <n v="15301.26"/>
    <n v="10775.32"/>
    <n v="4525.9399999999996"/>
    <x v="0"/>
  </r>
  <r>
    <x v="63"/>
    <x v="58"/>
    <s v="Priya Singh"/>
    <x v="1"/>
    <s v="Goa"/>
    <s v="Panaji"/>
    <x v="1"/>
    <x v="5"/>
    <n v="1"/>
    <n v="2674.79"/>
    <n v="2674.79"/>
    <n v="2258.77"/>
    <n v="416.02"/>
    <x v="4"/>
  </r>
  <r>
    <x v="64"/>
    <x v="59"/>
    <s v="Kavya Reddy"/>
    <x v="1"/>
    <s v="Gujarat"/>
    <s v="Ahmedabad"/>
    <x v="2"/>
    <x v="13"/>
    <n v="6"/>
    <n v="1335.62"/>
    <n v="8013.72"/>
    <n v="6744.67"/>
    <n v="1269.05"/>
    <x v="4"/>
  </r>
  <r>
    <x v="65"/>
    <x v="60"/>
    <s v="Sahil Khan"/>
    <x v="1"/>
    <s v="Goa"/>
    <s v="Panaji"/>
    <x v="2"/>
    <x v="8"/>
    <n v="1"/>
    <n v="1529.26"/>
    <n v="1529.26"/>
    <n v="1177.78"/>
    <n v="351.48"/>
    <x v="3"/>
  </r>
  <r>
    <x v="66"/>
    <x v="61"/>
    <s v="Vikram Shah"/>
    <x v="1"/>
    <s v="Goa"/>
    <s v="Panaji"/>
    <x v="1"/>
    <x v="5"/>
    <n v="2"/>
    <n v="2493.77"/>
    <n v="4987.54"/>
    <n v="3745.47"/>
    <n v="1242.07"/>
    <x v="2"/>
  </r>
  <r>
    <x v="67"/>
    <x v="62"/>
    <s v="Kavya Reddy"/>
    <x v="3"/>
    <s v="West Bengal"/>
    <s v="Kolkata"/>
    <x v="2"/>
    <x v="8"/>
    <n v="1"/>
    <n v="1517.23"/>
    <n v="1517.23"/>
    <n v="1155.05"/>
    <n v="362.18"/>
    <x v="5"/>
  </r>
  <r>
    <x v="68"/>
    <x v="63"/>
    <s v="Neha Gupta"/>
    <x v="1"/>
    <s v="Rajasthan"/>
    <s v="Udaipur"/>
    <x v="2"/>
    <x v="11"/>
    <n v="1"/>
    <n v="671.19"/>
    <n v="671.19"/>
    <n v="510.7"/>
    <n v="160.49"/>
    <x v="2"/>
  </r>
  <r>
    <x v="69"/>
    <x v="64"/>
    <s v="Isha Nair"/>
    <x v="3"/>
    <s v="Assam"/>
    <s v="Guwahati"/>
    <x v="0"/>
    <x v="22"/>
    <n v="4"/>
    <n v="4617.17"/>
    <n v="18468.68"/>
    <n v="14591.69"/>
    <n v="3876.99"/>
    <x v="1"/>
  </r>
  <r>
    <x v="70"/>
    <x v="65"/>
    <s v="Kavya Reddy"/>
    <x v="3"/>
    <s v="Odisha"/>
    <s v="Bhubaneswar"/>
    <x v="1"/>
    <x v="7"/>
    <n v="6"/>
    <n v="16893.3"/>
    <n v="101359.8"/>
    <n v="71348.27"/>
    <n v="30011.53"/>
    <x v="1"/>
  </r>
  <r>
    <x v="71"/>
    <x v="66"/>
    <s v="Simran Kaur"/>
    <x v="2"/>
    <s v="Tamil Nadu"/>
    <s v="Chennai"/>
    <x v="0"/>
    <x v="22"/>
    <n v="6"/>
    <n v="4275.25"/>
    <n v="25651.5"/>
    <n v="21343.11"/>
    <n v="4308.3900000000003"/>
    <x v="2"/>
  </r>
  <r>
    <x v="72"/>
    <x v="67"/>
    <s v="Vikram Shah"/>
    <x v="2"/>
    <s v="Telangana"/>
    <s v="Hyderabad"/>
    <x v="1"/>
    <x v="1"/>
    <n v="3"/>
    <n v="49655.63"/>
    <n v="148966.89000000001"/>
    <n v="117211.17"/>
    <n v="31755.72"/>
    <x v="0"/>
  </r>
  <r>
    <x v="73"/>
    <x v="68"/>
    <s v="Riya Das"/>
    <x v="3"/>
    <s v="Bihar"/>
    <s v="Patna"/>
    <x v="0"/>
    <x v="9"/>
    <n v="1"/>
    <n v="1289.45"/>
    <n v="1289.45"/>
    <n v="1024.8699999999999"/>
    <n v="264.58"/>
    <x v="4"/>
  </r>
  <r>
    <x v="74"/>
    <x v="69"/>
    <s v="Riya Das"/>
    <x v="3"/>
    <s v="Bihar"/>
    <s v="Patna"/>
    <x v="3"/>
    <x v="3"/>
    <n v="4"/>
    <n v="2583.89"/>
    <n v="10335.56"/>
    <n v="7163.25"/>
    <n v="3172.31"/>
    <x v="0"/>
  </r>
  <r>
    <x v="75"/>
    <x v="5"/>
    <s v="Kavya Reddy"/>
    <x v="0"/>
    <s v="Punjab"/>
    <s v="Ludhiana"/>
    <x v="1"/>
    <x v="12"/>
    <n v="3"/>
    <n v="2751.11"/>
    <n v="8253.33"/>
    <n v="6021.94"/>
    <n v="2231.39"/>
    <x v="4"/>
  </r>
  <r>
    <x v="76"/>
    <x v="38"/>
    <s v="Pooja Mehta"/>
    <x v="2"/>
    <s v="Kerala"/>
    <s v="Kochi"/>
    <x v="2"/>
    <x v="4"/>
    <n v="3"/>
    <n v="3430.51"/>
    <n v="10291.530000000001"/>
    <n v="9036.0300000000007"/>
    <n v="1255.5"/>
    <x v="3"/>
  </r>
  <r>
    <x v="77"/>
    <x v="70"/>
    <s v="Sneha Joshi"/>
    <x v="0"/>
    <s v="Delhi"/>
    <s v="New Delhi"/>
    <x v="3"/>
    <x v="15"/>
    <n v="6"/>
    <n v="847.98"/>
    <n v="5087.88"/>
    <n v="4131.79"/>
    <n v="956.09"/>
    <x v="5"/>
  </r>
  <r>
    <x v="78"/>
    <x v="71"/>
    <s v="Neha Gupta"/>
    <x v="0"/>
    <s v="Punjab"/>
    <s v="Ludhiana"/>
    <x v="1"/>
    <x v="6"/>
    <n v="6"/>
    <n v="4584.43"/>
    <n v="27506.58"/>
    <n v="20306.78"/>
    <n v="7199.8"/>
    <x v="2"/>
  </r>
  <r>
    <x v="79"/>
    <x v="72"/>
    <s v="Aditya Kumar"/>
    <x v="3"/>
    <s v="Assam"/>
    <s v="Guwahati"/>
    <x v="1"/>
    <x v="1"/>
    <n v="3"/>
    <n v="58166.11"/>
    <n v="174498.33"/>
    <n v="140473.18"/>
    <n v="34025.15"/>
    <x v="4"/>
  </r>
  <r>
    <x v="80"/>
    <x v="73"/>
    <s v="Simran Kaur"/>
    <x v="2"/>
    <s v="Tamil Nadu"/>
    <s v="Chennai"/>
    <x v="3"/>
    <x v="15"/>
    <n v="1"/>
    <n v="820.73"/>
    <n v="820.73"/>
    <n v="688.2"/>
    <n v="132.53"/>
    <x v="1"/>
  </r>
  <r>
    <x v="81"/>
    <x v="74"/>
    <s v="Kavya Reddy"/>
    <x v="3"/>
    <s v="Assam"/>
    <s v="Guwahati"/>
    <x v="1"/>
    <x v="5"/>
    <n v="6"/>
    <n v="2451.25"/>
    <n v="14707.5"/>
    <n v="10801.91"/>
    <n v="3905.59"/>
    <x v="4"/>
  </r>
  <r>
    <x v="82"/>
    <x v="75"/>
    <s v="Nikhil Yadav"/>
    <x v="0"/>
    <s v="Delhi"/>
    <s v="New Delhi"/>
    <x v="4"/>
    <x v="10"/>
    <n v="5"/>
    <n v="617.54999999999995"/>
    <n v="3087.75"/>
    <n v="2156.0700000000002"/>
    <n v="931.68"/>
    <x v="3"/>
  </r>
  <r>
    <x v="83"/>
    <x v="76"/>
    <s v="Vikram Shah"/>
    <x v="3"/>
    <s v="West Bengal"/>
    <s v="Kolkata"/>
    <x v="4"/>
    <x v="14"/>
    <n v="4"/>
    <n v="903.41"/>
    <n v="3613.64"/>
    <n v="2776.89"/>
    <n v="836.75"/>
    <x v="5"/>
  </r>
  <r>
    <x v="84"/>
    <x v="51"/>
    <s v="Priya Singh"/>
    <x v="1"/>
    <s v="Rajasthan"/>
    <s v="Udaipur"/>
    <x v="3"/>
    <x v="23"/>
    <n v="3"/>
    <n v="834.42"/>
    <n v="2503.2600000000002"/>
    <n v="1862.96"/>
    <n v="640.29999999999995"/>
    <x v="5"/>
  </r>
  <r>
    <x v="85"/>
    <x v="77"/>
    <s v="Vikram Shah"/>
    <x v="1"/>
    <s v="Rajasthan"/>
    <s v="Udaipur"/>
    <x v="1"/>
    <x v="6"/>
    <n v="5"/>
    <n v="4083.03"/>
    <n v="20415.150000000001"/>
    <n v="14241.85"/>
    <n v="6173.3"/>
    <x v="2"/>
  </r>
  <r>
    <x v="86"/>
    <x v="78"/>
    <s v="Isha Nair"/>
    <x v="1"/>
    <s v="Maharashtra"/>
    <s v="Mumbai"/>
    <x v="0"/>
    <x v="21"/>
    <n v="4"/>
    <n v="589.59"/>
    <n v="2358.36"/>
    <n v="1692.16"/>
    <n v="666.2"/>
    <x v="3"/>
  </r>
  <r>
    <x v="87"/>
    <x v="79"/>
    <s v="Riya Das"/>
    <x v="1"/>
    <s v="Maharashtra"/>
    <s v="Mumbai"/>
    <x v="1"/>
    <x v="12"/>
    <n v="2"/>
    <n v="3256.6"/>
    <n v="6513.2"/>
    <n v="4999.68"/>
    <n v="1513.52"/>
    <x v="0"/>
  </r>
  <r>
    <x v="88"/>
    <x v="37"/>
    <s v="Priya Singh"/>
    <x v="2"/>
    <s v="Tamil Nadu"/>
    <s v="Chennai"/>
    <x v="2"/>
    <x v="11"/>
    <n v="5"/>
    <n v="687.12"/>
    <n v="3435.6"/>
    <n v="2490.6"/>
    <n v="945"/>
    <x v="4"/>
  </r>
  <r>
    <x v="89"/>
    <x v="80"/>
    <s v="Riya Das"/>
    <x v="2"/>
    <s v="Kerala"/>
    <s v="Kochi"/>
    <x v="3"/>
    <x v="3"/>
    <n v="5"/>
    <n v="2915.03"/>
    <n v="14575.15"/>
    <n v="11122.27"/>
    <n v="3452.88"/>
    <x v="4"/>
  </r>
  <r>
    <x v="90"/>
    <x v="81"/>
    <s v="Rahul Verma"/>
    <x v="1"/>
    <s v="Gujarat"/>
    <s v="Ahmedabad"/>
    <x v="2"/>
    <x v="13"/>
    <n v="5"/>
    <n v="1468.96"/>
    <n v="7344.8"/>
    <n v="5194.99"/>
    <n v="2149.81"/>
    <x v="2"/>
  </r>
  <r>
    <x v="91"/>
    <x v="82"/>
    <s v="Riya Das"/>
    <x v="3"/>
    <s v="Odisha"/>
    <s v="Bhubaneswar"/>
    <x v="4"/>
    <x v="10"/>
    <n v="6"/>
    <n v="623.80999999999995"/>
    <n v="3742.86"/>
    <n v="2984.51"/>
    <n v="758.35"/>
    <x v="5"/>
  </r>
  <r>
    <x v="92"/>
    <x v="83"/>
    <s v="Aditya Kumar"/>
    <x v="1"/>
    <s v="Goa"/>
    <s v="Panaji"/>
    <x v="2"/>
    <x v="13"/>
    <n v="4"/>
    <n v="1387.5"/>
    <n v="5550"/>
    <n v="4131.17"/>
    <n v="1418.83"/>
    <x v="1"/>
  </r>
  <r>
    <x v="93"/>
    <x v="84"/>
    <s v="Arjun Rao"/>
    <x v="1"/>
    <s v="Gujarat"/>
    <s v="Ahmedabad"/>
    <x v="4"/>
    <x v="19"/>
    <n v="1"/>
    <n v="530"/>
    <n v="530"/>
    <n v="410.54"/>
    <n v="119.46"/>
    <x v="4"/>
  </r>
  <r>
    <x v="94"/>
    <x v="64"/>
    <s v="Priya Singh"/>
    <x v="2"/>
    <s v="Kerala"/>
    <s v="Kochi"/>
    <x v="3"/>
    <x v="15"/>
    <n v="5"/>
    <n v="983.76"/>
    <n v="4918.8"/>
    <n v="3671.39"/>
    <n v="1247.4100000000001"/>
    <x v="4"/>
  </r>
  <r>
    <x v="95"/>
    <x v="67"/>
    <s v="Vikram Shah"/>
    <x v="1"/>
    <s v="Maharashtra"/>
    <s v="Mumbai"/>
    <x v="0"/>
    <x v="9"/>
    <n v="6"/>
    <n v="1312.79"/>
    <n v="7876.74"/>
    <n v="5474.06"/>
    <n v="2402.6799999999998"/>
    <x v="2"/>
  </r>
  <r>
    <x v="96"/>
    <x v="85"/>
    <s v="Riya Das"/>
    <x v="1"/>
    <s v="Maharashtra"/>
    <s v="Mumbai"/>
    <x v="4"/>
    <x v="24"/>
    <n v="4"/>
    <n v="1963.49"/>
    <n v="7853.96"/>
    <n v="6325.26"/>
    <n v="1528.7"/>
    <x v="3"/>
  </r>
  <r>
    <x v="97"/>
    <x v="86"/>
    <s v="Priya Singh"/>
    <x v="0"/>
    <s v="Punjab"/>
    <s v="Ludhiana"/>
    <x v="0"/>
    <x v="22"/>
    <n v="2"/>
    <n v="4407.28"/>
    <n v="8814.56"/>
    <n v="6758.95"/>
    <n v="2055.61"/>
    <x v="1"/>
  </r>
  <r>
    <x v="98"/>
    <x v="87"/>
    <s v="Pooja Mehta"/>
    <x v="0"/>
    <s v="Rajasthan"/>
    <s v="Jaipur"/>
    <x v="1"/>
    <x v="5"/>
    <n v="1"/>
    <n v="2273"/>
    <n v="2273"/>
    <n v="1907.57"/>
    <n v="365.43"/>
    <x v="2"/>
  </r>
  <r>
    <x v="99"/>
    <x v="88"/>
    <s v="Sneha Joshi"/>
    <x v="1"/>
    <s v="Gujarat"/>
    <s v="Ahmedabad"/>
    <x v="1"/>
    <x v="6"/>
    <n v="5"/>
    <n v="4663.62"/>
    <n v="23318.1"/>
    <n v="16696.02"/>
    <n v="6622.08"/>
    <x v="0"/>
  </r>
  <r>
    <x v="100"/>
    <x v="61"/>
    <s v="Sahil Khan"/>
    <x v="1"/>
    <s v="Gujarat"/>
    <s v="Ahmedabad"/>
    <x v="2"/>
    <x v="13"/>
    <n v="2"/>
    <n v="1325.01"/>
    <n v="2650.02"/>
    <n v="2140.11"/>
    <n v="509.91"/>
    <x v="2"/>
  </r>
  <r>
    <x v="101"/>
    <x v="89"/>
    <s v="Nikhil Yadav"/>
    <x v="0"/>
    <s v="Rajasthan"/>
    <s v="Jaipur"/>
    <x v="3"/>
    <x v="16"/>
    <n v="2"/>
    <n v="1463.64"/>
    <n v="2927.28"/>
    <n v="2543.94"/>
    <n v="383.34"/>
    <x v="2"/>
  </r>
  <r>
    <x v="102"/>
    <x v="0"/>
    <s v="Priya Singh"/>
    <x v="1"/>
    <s v="Goa"/>
    <s v="Panaji"/>
    <x v="2"/>
    <x v="2"/>
    <n v="2"/>
    <n v="2749.69"/>
    <n v="5499.38"/>
    <n v="4678.1400000000003"/>
    <n v="821.24"/>
    <x v="5"/>
  </r>
  <r>
    <x v="103"/>
    <x v="90"/>
    <s v="Vikram Shah"/>
    <x v="3"/>
    <s v="Odisha"/>
    <s v="Bhubaneswar"/>
    <x v="3"/>
    <x v="3"/>
    <n v="1"/>
    <n v="3067.65"/>
    <n v="3067.65"/>
    <n v="2489.85"/>
    <n v="577.79999999999995"/>
    <x v="0"/>
  </r>
  <r>
    <x v="104"/>
    <x v="91"/>
    <s v="Aditya Kumar"/>
    <x v="0"/>
    <s v="Rajasthan"/>
    <s v="Jaipur"/>
    <x v="4"/>
    <x v="10"/>
    <n v="2"/>
    <n v="663.92"/>
    <n v="1327.84"/>
    <n v="996.5"/>
    <n v="331.34"/>
    <x v="3"/>
  </r>
  <r>
    <x v="105"/>
    <x v="92"/>
    <s v="Isha Nair"/>
    <x v="2"/>
    <s v="Karnataka"/>
    <s v="Bengaluru"/>
    <x v="3"/>
    <x v="17"/>
    <n v="3"/>
    <n v="2326.9899999999998"/>
    <n v="6980.97"/>
    <n v="4793.6400000000003"/>
    <n v="2187.33"/>
    <x v="1"/>
  </r>
  <r>
    <x v="106"/>
    <x v="93"/>
    <s v="Isha Nair"/>
    <x v="0"/>
    <s v="Haryana"/>
    <s v="Gurugram"/>
    <x v="2"/>
    <x v="4"/>
    <n v="2"/>
    <n v="3008.51"/>
    <n v="6017.02"/>
    <n v="5038.07"/>
    <n v="978.95"/>
    <x v="3"/>
  </r>
  <r>
    <x v="107"/>
    <x v="94"/>
    <s v="Priya Singh"/>
    <x v="3"/>
    <s v="Bihar"/>
    <s v="Patna"/>
    <x v="1"/>
    <x v="6"/>
    <n v="3"/>
    <n v="4721.8999999999996"/>
    <n v="14165.7"/>
    <n v="10592.3"/>
    <n v="3573.4"/>
    <x v="4"/>
  </r>
  <r>
    <x v="108"/>
    <x v="95"/>
    <s v="Aarav Sharma"/>
    <x v="2"/>
    <s v="Tamil Nadu"/>
    <s v="Chennai"/>
    <x v="4"/>
    <x v="19"/>
    <n v="5"/>
    <n v="535.24"/>
    <n v="2676.2"/>
    <n v="2243.02"/>
    <n v="433.18"/>
    <x v="2"/>
  </r>
  <r>
    <x v="109"/>
    <x v="96"/>
    <s v="Isha Nair"/>
    <x v="0"/>
    <s v="Rajasthan"/>
    <s v="Jaipur"/>
    <x v="2"/>
    <x v="2"/>
    <n v="5"/>
    <n v="2440.5100000000002"/>
    <n v="12202.55"/>
    <n v="9856.1200000000008"/>
    <n v="2346.4299999999998"/>
    <x v="0"/>
  </r>
  <r>
    <x v="110"/>
    <x v="97"/>
    <s v="Rahul Verma"/>
    <x v="2"/>
    <s v="Kerala"/>
    <s v="Kochi"/>
    <x v="1"/>
    <x v="12"/>
    <n v="3"/>
    <n v="3249.15"/>
    <n v="9747.4500000000007"/>
    <n v="7059.82"/>
    <n v="2687.63"/>
    <x v="1"/>
  </r>
  <r>
    <x v="111"/>
    <x v="98"/>
    <s v="Priya Singh"/>
    <x v="3"/>
    <s v="Assam"/>
    <s v="Guwahati"/>
    <x v="1"/>
    <x v="7"/>
    <n v="1"/>
    <n v="17295.71"/>
    <n v="17295.71"/>
    <n v="13465.14"/>
    <n v="3830.57"/>
    <x v="5"/>
  </r>
  <r>
    <x v="112"/>
    <x v="99"/>
    <s v="Meera Kulkarni"/>
    <x v="2"/>
    <s v="Kerala"/>
    <s v="Kochi"/>
    <x v="2"/>
    <x v="13"/>
    <n v="4"/>
    <n v="1424.46"/>
    <n v="5697.84"/>
    <n v="4702.54"/>
    <n v="995.3"/>
    <x v="1"/>
  </r>
  <r>
    <x v="113"/>
    <x v="100"/>
    <s v="Sahil Khan"/>
    <x v="1"/>
    <s v="Rajasthan"/>
    <s v="Udaipur"/>
    <x v="3"/>
    <x v="3"/>
    <n v="1"/>
    <n v="2906.56"/>
    <n v="2906.56"/>
    <n v="2102.7600000000002"/>
    <n v="803.8"/>
    <x v="5"/>
  </r>
  <r>
    <x v="114"/>
    <x v="59"/>
    <s v="Priya Singh"/>
    <x v="0"/>
    <s v="Haryana"/>
    <s v="Gurugram"/>
    <x v="2"/>
    <x v="2"/>
    <n v="1"/>
    <n v="2449.0700000000002"/>
    <n v="2449.0700000000002"/>
    <n v="1758.34"/>
    <n v="690.73"/>
    <x v="4"/>
  </r>
  <r>
    <x v="115"/>
    <x v="101"/>
    <s v="Aditya Kumar"/>
    <x v="2"/>
    <s v="Karnataka"/>
    <s v="Bengaluru"/>
    <x v="1"/>
    <x v="5"/>
    <n v="2"/>
    <n v="2744.41"/>
    <n v="5488.82"/>
    <n v="4596.3100000000004"/>
    <n v="892.51"/>
    <x v="0"/>
  </r>
  <r>
    <x v="116"/>
    <x v="102"/>
    <s v="Simran Kaur"/>
    <x v="2"/>
    <s v="Tamil Nadu"/>
    <s v="Chennai"/>
    <x v="4"/>
    <x v="14"/>
    <n v="3"/>
    <n v="949.39"/>
    <n v="2848.17"/>
    <n v="2385.9899999999998"/>
    <n v="462.18"/>
    <x v="0"/>
  </r>
  <r>
    <x v="117"/>
    <x v="103"/>
    <s v="Aarav Sharma"/>
    <x v="2"/>
    <s v="Tamil Nadu"/>
    <s v="Chennai"/>
    <x v="2"/>
    <x v="8"/>
    <n v="1"/>
    <n v="1651.54"/>
    <n v="1651.54"/>
    <n v="1131.56"/>
    <n v="519.98"/>
    <x v="2"/>
  </r>
  <r>
    <x v="118"/>
    <x v="104"/>
    <s v="Rahul Verma"/>
    <x v="3"/>
    <s v="West Bengal"/>
    <s v="Kolkata"/>
    <x v="1"/>
    <x v="7"/>
    <n v="2"/>
    <n v="18870.189999999999"/>
    <n v="37740.379999999997"/>
    <n v="29634.39"/>
    <n v="8105.99"/>
    <x v="4"/>
  </r>
  <r>
    <x v="119"/>
    <x v="105"/>
    <s v="Aman Jain"/>
    <x v="3"/>
    <s v="West Bengal"/>
    <s v="Kolkata"/>
    <x v="2"/>
    <x v="8"/>
    <n v="5"/>
    <n v="1453.88"/>
    <n v="7269.4"/>
    <n v="6081.91"/>
    <n v="1187.49"/>
    <x v="2"/>
  </r>
  <r>
    <x v="120"/>
    <x v="106"/>
    <s v="Sahil Khan"/>
    <x v="0"/>
    <s v="Delhi"/>
    <s v="New Delhi"/>
    <x v="3"/>
    <x v="23"/>
    <n v="4"/>
    <n v="881.64"/>
    <n v="3526.56"/>
    <n v="2743.85"/>
    <n v="782.71"/>
    <x v="0"/>
  </r>
  <r>
    <x v="121"/>
    <x v="107"/>
    <s v="Karan Malhotra"/>
    <x v="3"/>
    <s v="Bihar"/>
    <s v="Patna"/>
    <x v="1"/>
    <x v="5"/>
    <n v="5"/>
    <n v="2566.54"/>
    <n v="12832.7"/>
    <n v="10133.61"/>
    <n v="2699.09"/>
    <x v="4"/>
  </r>
  <r>
    <x v="122"/>
    <x v="108"/>
    <s v="Kavya Reddy"/>
    <x v="3"/>
    <s v="Assam"/>
    <s v="Guwahati"/>
    <x v="2"/>
    <x v="4"/>
    <n v="1"/>
    <n v="3387.58"/>
    <n v="3387.58"/>
    <n v="2381.0700000000002"/>
    <n v="1006.51"/>
    <x v="1"/>
  </r>
  <r>
    <x v="123"/>
    <x v="109"/>
    <s v="Priya Singh"/>
    <x v="1"/>
    <s v="Rajasthan"/>
    <s v="Udaipur"/>
    <x v="4"/>
    <x v="19"/>
    <n v="3"/>
    <n v="586.02"/>
    <n v="1758.06"/>
    <n v="1335.68"/>
    <n v="422.38"/>
    <x v="2"/>
  </r>
  <r>
    <x v="124"/>
    <x v="110"/>
    <s v="Rahul Verma"/>
    <x v="3"/>
    <s v="Odisha"/>
    <s v="Bhubaneswar"/>
    <x v="2"/>
    <x v="8"/>
    <n v="6"/>
    <n v="1735.36"/>
    <n v="10412.16"/>
    <n v="7220.07"/>
    <n v="3192.09"/>
    <x v="0"/>
  </r>
  <r>
    <x v="125"/>
    <x v="111"/>
    <s v="Karan Malhotra"/>
    <x v="0"/>
    <s v="Haryana"/>
    <s v="Gurugram"/>
    <x v="4"/>
    <x v="24"/>
    <n v="1"/>
    <n v="1831.13"/>
    <n v="1831.13"/>
    <n v="1450.84"/>
    <n v="380.29"/>
    <x v="1"/>
  </r>
  <r>
    <x v="126"/>
    <x v="112"/>
    <s v="Pooja Mehta"/>
    <x v="1"/>
    <s v="Goa"/>
    <s v="Panaji"/>
    <x v="4"/>
    <x v="19"/>
    <n v="6"/>
    <n v="500.66"/>
    <n v="3003.96"/>
    <n v="2215.5"/>
    <n v="788.46"/>
    <x v="2"/>
  </r>
  <r>
    <x v="127"/>
    <x v="113"/>
    <s v="Priya Singh"/>
    <x v="2"/>
    <s v="Tamil Nadu"/>
    <s v="Chennai"/>
    <x v="0"/>
    <x v="0"/>
    <n v="1"/>
    <n v="6305.15"/>
    <n v="6305.15"/>
    <n v="4988.97"/>
    <n v="1316.18"/>
    <x v="2"/>
  </r>
  <r>
    <x v="128"/>
    <x v="114"/>
    <s v="Simran Kaur"/>
    <x v="2"/>
    <s v="Kerala"/>
    <s v="Kochi"/>
    <x v="4"/>
    <x v="24"/>
    <n v="5"/>
    <n v="1862.99"/>
    <n v="9314.9500000000007"/>
    <n v="7371.37"/>
    <n v="1943.58"/>
    <x v="1"/>
  </r>
  <r>
    <x v="129"/>
    <x v="115"/>
    <s v="Rohan Deshmukh"/>
    <x v="3"/>
    <s v="West Bengal"/>
    <s v="Kolkata"/>
    <x v="1"/>
    <x v="5"/>
    <n v="3"/>
    <n v="2425.5100000000002"/>
    <n v="7276.53"/>
    <n v="5212.04"/>
    <n v="2064.4899999999998"/>
    <x v="3"/>
  </r>
  <r>
    <x v="130"/>
    <x v="26"/>
    <s v="Meera Kulkarni"/>
    <x v="1"/>
    <s v="Maharashtra"/>
    <s v="Mumbai"/>
    <x v="1"/>
    <x v="7"/>
    <n v="1"/>
    <n v="18886"/>
    <n v="18886"/>
    <n v="13655.08"/>
    <n v="5230.92"/>
    <x v="4"/>
  </r>
  <r>
    <x v="131"/>
    <x v="116"/>
    <s v="Rohan Deshmukh"/>
    <x v="2"/>
    <s v="Telangana"/>
    <s v="Hyderabad"/>
    <x v="2"/>
    <x v="2"/>
    <n v="5"/>
    <n v="2548.11"/>
    <n v="12740.55"/>
    <n v="10914.43"/>
    <n v="1826.12"/>
    <x v="5"/>
  </r>
  <r>
    <x v="132"/>
    <x v="117"/>
    <s v="Aditya Kumar"/>
    <x v="0"/>
    <s v="Delhi"/>
    <s v="New Delhi"/>
    <x v="1"/>
    <x v="6"/>
    <n v="4"/>
    <n v="4596.37"/>
    <n v="18385.48"/>
    <n v="14025.12"/>
    <n v="4360.3599999999997"/>
    <x v="3"/>
  </r>
  <r>
    <x v="133"/>
    <x v="73"/>
    <s v="Neha Gupta"/>
    <x v="3"/>
    <s v="Assam"/>
    <s v="Guwahati"/>
    <x v="1"/>
    <x v="12"/>
    <n v="4"/>
    <n v="3016.16"/>
    <n v="12064.64"/>
    <n v="8948.15"/>
    <n v="3116.49"/>
    <x v="4"/>
  </r>
  <r>
    <x v="134"/>
    <x v="118"/>
    <s v="Priya Singh"/>
    <x v="0"/>
    <s v="Delhi"/>
    <s v="New Delhi"/>
    <x v="1"/>
    <x v="1"/>
    <n v="2"/>
    <n v="57905.77"/>
    <n v="115811.54"/>
    <n v="85456.11"/>
    <n v="30355.43"/>
    <x v="0"/>
  </r>
  <r>
    <x v="135"/>
    <x v="119"/>
    <s v="Isha Nair"/>
    <x v="1"/>
    <s v="Gujarat"/>
    <s v="Ahmedabad"/>
    <x v="1"/>
    <x v="12"/>
    <n v="6"/>
    <n v="2838.07"/>
    <n v="17028.419999999998"/>
    <n v="13482.16"/>
    <n v="3546.26"/>
    <x v="0"/>
  </r>
  <r>
    <x v="136"/>
    <x v="120"/>
    <s v="Meera Kulkarni"/>
    <x v="0"/>
    <s v="Rajasthan"/>
    <s v="Jaipur"/>
    <x v="1"/>
    <x v="7"/>
    <n v="3"/>
    <n v="18272.73"/>
    <n v="54818.19"/>
    <n v="43562.92"/>
    <n v="11255.27"/>
    <x v="2"/>
  </r>
  <r>
    <x v="137"/>
    <x v="73"/>
    <s v="Isha Nair"/>
    <x v="1"/>
    <s v="Maharashtra"/>
    <s v="Mumbai"/>
    <x v="3"/>
    <x v="15"/>
    <n v="5"/>
    <n v="892.82"/>
    <n v="4464.1000000000004"/>
    <n v="3651.29"/>
    <n v="812.81"/>
    <x v="0"/>
  </r>
  <r>
    <x v="138"/>
    <x v="121"/>
    <s v="Karan Malhotra"/>
    <x v="0"/>
    <s v="Punjab"/>
    <s v="Ludhiana"/>
    <x v="2"/>
    <x v="4"/>
    <n v="5"/>
    <n v="2930.33"/>
    <n v="14651.65"/>
    <n v="12514.05"/>
    <n v="2137.6"/>
    <x v="5"/>
  </r>
  <r>
    <x v="139"/>
    <x v="122"/>
    <s v="Isha Nair"/>
    <x v="2"/>
    <s v="Karnataka"/>
    <s v="Bengaluru"/>
    <x v="2"/>
    <x v="11"/>
    <n v="5"/>
    <n v="701.39"/>
    <n v="3506.95"/>
    <n v="3020.13"/>
    <n v="486.82"/>
    <x v="2"/>
  </r>
  <r>
    <x v="140"/>
    <x v="123"/>
    <s v="Rahul Verma"/>
    <x v="2"/>
    <s v="Tamil Nadu"/>
    <s v="Chennai"/>
    <x v="1"/>
    <x v="5"/>
    <n v="2"/>
    <n v="2336.75"/>
    <n v="4673.5"/>
    <n v="3320.87"/>
    <n v="1352.63"/>
    <x v="5"/>
  </r>
  <r>
    <x v="141"/>
    <x v="10"/>
    <s v="Simran Kaur"/>
    <x v="1"/>
    <s v="Rajasthan"/>
    <s v="Udaipur"/>
    <x v="4"/>
    <x v="24"/>
    <n v="4"/>
    <n v="1865.21"/>
    <n v="7460.84"/>
    <n v="6389.54"/>
    <n v="1071.3"/>
    <x v="2"/>
  </r>
  <r>
    <x v="142"/>
    <x v="10"/>
    <s v="Nikhil Yadav"/>
    <x v="3"/>
    <s v="Bihar"/>
    <s v="Patna"/>
    <x v="2"/>
    <x v="4"/>
    <n v="4"/>
    <n v="3284.09"/>
    <n v="13136.36"/>
    <n v="11024.9"/>
    <n v="2111.46"/>
    <x v="0"/>
  </r>
  <r>
    <x v="143"/>
    <x v="124"/>
    <s v="Rahul Verma"/>
    <x v="0"/>
    <s v="Haryana"/>
    <s v="Gurugram"/>
    <x v="2"/>
    <x v="11"/>
    <n v="1"/>
    <n v="681.62"/>
    <n v="681.62"/>
    <n v="502.64"/>
    <n v="178.98"/>
    <x v="3"/>
  </r>
  <r>
    <x v="144"/>
    <x v="47"/>
    <s v="Aditya Kumar"/>
    <x v="1"/>
    <s v="Rajasthan"/>
    <s v="Udaipur"/>
    <x v="0"/>
    <x v="20"/>
    <n v="4"/>
    <n v="3029.07"/>
    <n v="12116.28"/>
    <n v="9624.34"/>
    <n v="2491.94"/>
    <x v="2"/>
  </r>
  <r>
    <x v="145"/>
    <x v="125"/>
    <s v="Rahul Verma"/>
    <x v="1"/>
    <s v="Gujarat"/>
    <s v="Ahmedabad"/>
    <x v="3"/>
    <x v="23"/>
    <n v="1"/>
    <n v="902.86"/>
    <n v="902.86"/>
    <n v="765.15"/>
    <n v="137.71"/>
    <x v="3"/>
  </r>
  <r>
    <x v="146"/>
    <x v="123"/>
    <s v="Isha Nair"/>
    <x v="2"/>
    <s v="Karnataka"/>
    <s v="Bengaluru"/>
    <x v="1"/>
    <x v="6"/>
    <n v="4"/>
    <n v="4521.66"/>
    <n v="18086.64"/>
    <n v="14504.78"/>
    <n v="3581.86"/>
    <x v="2"/>
  </r>
  <r>
    <x v="147"/>
    <x v="126"/>
    <s v="Rahul Verma"/>
    <x v="1"/>
    <s v="Rajasthan"/>
    <s v="Udaipur"/>
    <x v="4"/>
    <x v="24"/>
    <n v="1"/>
    <n v="1904.12"/>
    <n v="1904.12"/>
    <n v="1541.31"/>
    <n v="362.81"/>
    <x v="2"/>
  </r>
  <r>
    <x v="148"/>
    <x v="127"/>
    <s v="Rohan Deshmukh"/>
    <x v="1"/>
    <s v="Goa"/>
    <s v="Panaji"/>
    <x v="1"/>
    <x v="12"/>
    <n v="2"/>
    <n v="2900.02"/>
    <n v="5800.04"/>
    <n v="4620.01"/>
    <n v="1180.03"/>
    <x v="2"/>
  </r>
  <r>
    <x v="149"/>
    <x v="40"/>
    <s v="Karan Malhotra"/>
    <x v="1"/>
    <s v="Gujarat"/>
    <s v="Ahmedabad"/>
    <x v="0"/>
    <x v="20"/>
    <n v="3"/>
    <n v="2833"/>
    <n v="8499"/>
    <n v="6873.13"/>
    <n v="1625.87"/>
    <x v="5"/>
  </r>
  <r>
    <x v="150"/>
    <x v="128"/>
    <s v="Karan Malhotra"/>
    <x v="0"/>
    <s v="Rajasthan"/>
    <s v="Jaipur"/>
    <x v="2"/>
    <x v="11"/>
    <n v="3"/>
    <n v="673.24"/>
    <n v="2019.72"/>
    <n v="1757.63"/>
    <n v="262.08999999999997"/>
    <x v="4"/>
  </r>
  <r>
    <x v="151"/>
    <x v="129"/>
    <s v="Aman Jain"/>
    <x v="2"/>
    <s v="Tamil Nadu"/>
    <s v="Chennai"/>
    <x v="1"/>
    <x v="5"/>
    <n v="1"/>
    <n v="2503.84"/>
    <n v="2503.84"/>
    <n v="1972.91"/>
    <n v="530.92999999999995"/>
    <x v="0"/>
  </r>
  <r>
    <x v="152"/>
    <x v="130"/>
    <s v="Simran Kaur"/>
    <x v="3"/>
    <s v="Bihar"/>
    <s v="Patna"/>
    <x v="0"/>
    <x v="0"/>
    <n v="2"/>
    <n v="6085.1"/>
    <n v="12170.2"/>
    <n v="9962.15"/>
    <n v="2208.0500000000002"/>
    <x v="5"/>
  </r>
  <r>
    <x v="153"/>
    <x v="75"/>
    <s v="Sahil Khan"/>
    <x v="0"/>
    <s v="Rajasthan"/>
    <s v="Jaipur"/>
    <x v="2"/>
    <x v="8"/>
    <n v="4"/>
    <n v="1635.39"/>
    <n v="6541.56"/>
    <n v="5432.62"/>
    <n v="1108.94"/>
    <x v="5"/>
  </r>
  <r>
    <x v="154"/>
    <x v="131"/>
    <s v="Sahil Khan"/>
    <x v="2"/>
    <s v="Telangana"/>
    <s v="Hyderabad"/>
    <x v="3"/>
    <x v="23"/>
    <n v="2"/>
    <n v="827.53"/>
    <n v="1655.06"/>
    <n v="1438.95"/>
    <n v="216.11"/>
    <x v="4"/>
  </r>
  <r>
    <x v="155"/>
    <x v="126"/>
    <s v="Riya Das"/>
    <x v="1"/>
    <s v="Rajasthan"/>
    <s v="Udaipur"/>
    <x v="3"/>
    <x v="15"/>
    <n v="5"/>
    <n v="834.91"/>
    <n v="4174.55"/>
    <n v="3047.42"/>
    <n v="1127.1300000000001"/>
    <x v="2"/>
  </r>
  <r>
    <x v="156"/>
    <x v="102"/>
    <s v="Meera Kulkarni"/>
    <x v="0"/>
    <s v="Delhi"/>
    <s v="New Delhi"/>
    <x v="1"/>
    <x v="1"/>
    <n v="3"/>
    <n v="54442.51"/>
    <n v="163327.53"/>
    <n v="127831.65"/>
    <n v="35495.879999999997"/>
    <x v="0"/>
  </r>
  <r>
    <x v="157"/>
    <x v="132"/>
    <s v="Arjun Rao"/>
    <x v="1"/>
    <s v="Goa"/>
    <s v="Panaji"/>
    <x v="3"/>
    <x v="23"/>
    <n v="1"/>
    <n v="832.4"/>
    <n v="832.4"/>
    <n v="628.29"/>
    <n v="204.11"/>
    <x v="0"/>
  </r>
  <r>
    <x v="158"/>
    <x v="88"/>
    <s v="Rohan Deshmukh"/>
    <x v="2"/>
    <s v="Karnataka"/>
    <s v="Bengaluru"/>
    <x v="2"/>
    <x v="11"/>
    <n v="6"/>
    <n v="720.99"/>
    <n v="4325.9399999999996"/>
    <n v="3626.33"/>
    <n v="699.61"/>
    <x v="0"/>
  </r>
  <r>
    <x v="159"/>
    <x v="133"/>
    <s v="Aarav Sharma"/>
    <x v="1"/>
    <s v="Gujarat"/>
    <s v="Ahmedabad"/>
    <x v="4"/>
    <x v="19"/>
    <n v="4"/>
    <n v="562.69000000000005"/>
    <n v="2250.7600000000002"/>
    <n v="1938.29"/>
    <n v="312.47000000000003"/>
    <x v="2"/>
  </r>
  <r>
    <x v="160"/>
    <x v="109"/>
    <s v="Meera Kulkarni"/>
    <x v="2"/>
    <s v="Kerala"/>
    <s v="Kochi"/>
    <x v="1"/>
    <x v="5"/>
    <n v="2"/>
    <n v="2400.58"/>
    <n v="4801.16"/>
    <n v="3310.64"/>
    <n v="1490.52"/>
    <x v="1"/>
  </r>
  <r>
    <x v="161"/>
    <x v="134"/>
    <s v="Nikhil Yadav"/>
    <x v="1"/>
    <s v="Maharashtra"/>
    <s v="Mumbai"/>
    <x v="1"/>
    <x v="6"/>
    <n v="5"/>
    <n v="4532.45"/>
    <n v="22662.25"/>
    <n v="18274.63"/>
    <n v="4387.62"/>
    <x v="5"/>
  </r>
  <r>
    <x v="162"/>
    <x v="135"/>
    <s v="Rahul Verma"/>
    <x v="3"/>
    <s v="Assam"/>
    <s v="Guwahati"/>
    <x v="1"/>
    <x v="5"/>
    <n v="2"/>
    <n v="2535.33"/>
    <n v="5070.66"/>
    <n v="3638.01"/>
    <n v="1432.65"/>
    <x v="3"/>
  </r>
  <r>
    <x v="163"/>
    <x v="136"/>
    <s v="Vikram Shah"/>
    <x v="0"/>
    <s v="Delhi"/>
    <s v="New Delhi"/>
    <x v="2"/>
    <x v="4"/>
    <n v="1"/>
    <n v="3286.83"/>
    <n v="3286.83"/>
    <n v="2879.95"/>
    <n v="406.88"/>
    <x v="1"/>
  </r>
  <r>
    <x v="164"/>
    <x v="137"/>
    <s v="Ananya Patil"/>
    <x v="3"/>
    <s v="West Bengal"/>
    <s v="Kolkata"/>
    <x v="2"/>
    <x v="11"/>
    <n v="5"/>
    <n v="732.93"/>
    <n v="3664.65"/>
    <n v="2735.67"/>
    <n v="928.98"/>
    <x v="2"/>
  </r>
  <r>
    <x v="165"/>
    <x v="52"/>
    <s v="Rohan Deshmukh"/>
    <x v="3"/>
    <s v="Bihar"/>
    <s v="Patna"/>
    <x v="4"/>
    <x v="19"/>
    <n v="6"/>
    <n v="547.64"/>
    <n v="3285.84"/>
    <n v="2354.16"/>
    <n v="931.68"/>
    <x v="0"/>
  </r>
  <r>
    <x v="166"/>
    <x v="106"/>
    <s v="Arjun Rao"/>
    <x v="0"/>
    <s v="Haryana"/>
    <s v="Gurugram"/>
    <x v="1"/>
    <x v="1"/>
    <n v="1"/>
    <n v="52971.55"/>
    <n v="52971.55"/>
    <n v="39305.69"/>
    <n v="13665.86"/>
    <x v="3"/>
  </r>
  <r>
    <x v="167"/>
    <x v="18"/>
    <s v="Karan Malhotra"/>
    <x v="3"/>
    <s v="West Bengal"/>
    <s v="Kolkata"/>
    <x v="4"/>
    <x v="14"/>
    <n v="3"/>
    <n v="874.26"/>
    <n v="2622.78"/>
    <n v="2193.09"/>
    <n v="429.69"/>
    <x v="2"/>
  </r>
  <r>
    <x v="168"/>
    <x v="138"/>
    <s v="Riya Das"/>
    <x v="3"/>
    <s v="Assam"/>
    <s v="Guwahati"/>
    <x v="4"/>
    <x v="19"/>
    <n v="4"/>
    <n v="532.29"/>
    <n v="2129.16"/>
    <n v="1527.38"/>
    <n v="601.78"/>
    <x v="2"/>
  </r>
  <r>
    <x v="169"/>
    <x v="139"/>
    <s v="Kavya Reddy"/>
    <x v="3"/>
    <s v="West Bengal"/>
    <s v="Kolkata"/>
    <x v="0"/>
    <x v="20"/>
    <n v="4"/>
    <n v="2857.37"/>
    <n v="11429.48"/>
    <n v="9651.83"/>
    <n v="1777.65"/>
    <x v="2"/>
  </r>
  <r>
    <x v="170"/>
    <x v="140"/>
    <s v="Sneha Joshi"/>
    <x v="0"/>
    <s v="Delhi"/>
    <s v="New Delhi"/>
    <x v="2"/>
    <x v="2"/>
    <n v="3"/>
    <n v="2472.96"/>
    <n v="7418.88"/>
    <n v="6109.69"/>
    <n v="1309.19"/>
    <x v="1"/>
  </r>
  <r>
    <x v="171"/>
    <x v="141"/>
    <s v="Ananya Patil"/>
    <x v="3"/>
    <s v="Assam"/>
    <s v="Guwahati"/>
    <x v="1"/>
    <x v="5"/>
    <n v="5"/>
    <n v="2749.08"/>
    <n v="13745.4"/>
    <n v="10101.65"/>
    <n v="3643.75"/>
    <x v="0"/>
  </r>
  <r>
    <x v="172"/>
    <x v="128"/>
    <s v="Sahil Khan"/>
    <x v="1"/>
    <s v="Goa"/>
    <s v="Panaji"/>
    <x v="2"/>
    <x v="8"/>
    <n v="1"/>
    <n v="1485.69"/>
    <n v="1485.69"/>
    <n v="1190.8"/>
    <n v="294.89"/>
    <x v="0"/>
  </r>
  <r>
    <x v="173"/>
    <x v="142"/>
    <s v="Simran Kaur"/>
    <x v="0"/>
    <s v="Punjab"/>
    <s v="Ludhiana"/>
    <x v="4"/>
    <x v="10"/>
    <n v="3"/>
    <n v="634.77"/>
    <n v="1904.31"/>
    <n v="1510.97"/>
    <n v="393.34"/>
    <x v="5"/>
  </r>
  <r>
    <x v="174"/>
    <x v="143"/>
    <s v="Karan Malhotra"/>
    <x v="1"/>
    <s v="Goa"/>
    <s v="Panaji"/>
    <x v="2"/>
    <x v="11"/>
    <n v="5"/>
    <n v="649.28"/>
    <n v="3246.4"/>
    <n v="2445.81"/>
    <n v="800.59"/>
    <x v="1"/>
  </r>
  <r>
    <x v="175"/>
    <x v="3"/>
    <s v="Priya Singh"/>
    <x v="2"/>
    <s v="Karnataka"/>
    <s v="Bengaluru"/>
    <x v="1"/>
    <x v="1"/>
    <n v="4"/>
    <n v="55195.199999999997"/>
    <n v="220780.79999999999"/>
    <n v="190469.47"/>
    <n v="30311.33"/>
    <x v="2"/>
  </r>
  <r>
    <x v="176"/>
    <x v="144"/>
    <s v="Priya Singh"/>
    <x v="1"/>
    <s v="Gujarat"/>
    <s v="Ahmedabad"/>
    <x v="3"/>
    <x v="3"/>
    <n v="6"/>
    <n v="3033.23"/>
    <n v="18199.38"/>
    <n v="14163.49"/>
    <n v="4035.89"/>
    <x v="5"/>
  </r>
  <r>
    <x v="177"/>
    <x v="145"/>
    <s v="Karan Malhotra"/>
    <x v="1"/>
    <s v="Gujarat"/>
    <s v="Ahmedabad"/>
    <x v="4"/>
    <x v="19"/>
    <n v="1"/>
    <n v="584.16"/>
    <n v="584.16"/>
    <n v="510.27"/>
    <n v="73.89"/>
    <x v="1"/>
  </r>
  <r>
    <x v="178"/>
    <x v="58"/>
    <s v="Sneha Joshi"/>
    <x v="0"/>
    <s v="Haryana"/>
    <s v="Gurugram"/>
    <x v="4"/>
    <x v="14"/>
    <n v="6"/>
    <n v="937.72"/>
    <n v="5626.32"/>
    <n v="4613.83"/>
    <n v="1012.49"/>
    <x v="2"/>
  </r>
  <r>
    <x v="179"/>
    <x v="146"/>
    <s v="Kavya Reddy"/>
    <x v="2"/>
    <s v="Karnataka"/>
    <s v="Bengaluru"/>
    <x v="3"/>
    <x v="15"/>
    <n v="2"/>
    <n v="952.27"/>
    <n v="1904.54"/>
    <n v="1305.0999999999999"/>
    <n v="599.44000000000005"/>
    <x v="3"/>
  </r>
  <r>
    <x v="180"/>
    <x v="147"/>
    <s v="Riya Das"/>
    <x v="1"/>
    <s v="Gujarat"/>
    <s v="Ahmedabad"/>
    <x v="0"/>
    <x v="20"/>
    <n v="1"/>
    <n v="2693.2"/>
    <n v="2693.2"/>
    <n v="2369.8000000000002"/>
    <n v="323.39999999999998"/>
    <x v="3"/>
  </r>
  <r>
    <x v="181"/>
    <x v="148"/>
    <s v="Aman Jain"/>
    <x v="1"/>
    <s v="Maharashtra"/>
    <s v="Mumbai"/>
    <x v="1"/>
    <x v="5"/>
    <n v="6"/>
    <n v="2287.08"/>
    <n v="13722.48"/>
    <n v="10609.76"/>
    <n v="3112.72"/>
    <x v="2"/>
  </r>
  <r>
    <x v="182"/>
    <x v="149"/>
    <s v="Sneha Joshi"/>
    <x v="2"/>
    <s v="Tamil Nadu"/>
    <s v="Chennai"/>
    <x v="2"/>
    <x v="11"/>
    <n v="1"/>
    <n v="702.53"/>
    <n v="702.53"/>
    <n v="520.45000000000005"/>
    <n v="182.08"/>
    <x v="2"/>
  </r>
  <r>
    <x v="183"/>
    <x v="150"/>
    <s v="Kavya Reddy"/>
    <x v="2"/>
    <s v="Telangana"/>
    <s v="Hyderabad"/>
    <x v="3"/>
    <x v="16"/>
    <n v="3"/>
    <n v="1710.7"/>
    <n v="5132.1000000000004"/>
    <n v="3747.05"/>
    <n v="1385.05"/>
    <x v="2"/>
  </r>
  <r>
    <x v="184"/>
    <x v="142"/>
    <s v="Simran Kaur"/>
    <x v="3"/>
    <s v="West Bengal"/>
    <s v="Kolkata"/>
    <x v="2"/>
    <x v="8"/>
    <n v="5"/>
    <n v="1741.31"/>
    <n v="8706.5499999999993"/>
    <n v="6188.95"/>
    <n v="2517.6"/>
    <x v="1"/>
  </r>
  <r>
    <x v="185"/>
    <x v="125"/>
    <s v="Nikhil Yadav"/>
    <x v="3"/>
    <s v="West Bengal"/>
    <s v="Kolkata"/>
    <x v="4"/>
    <x v="18"/>
    <n v="1"/>
    <n v="409.09"/>
    <n v="409.09"/>
    <n v="330.66"/>
    <n v="78.430000000000007"/>
    <x v="2"/>
  </r>
  <r>
    <x v="186"/>
    <x v="21"/>
    <s v="Pooja Mehta"/>
    <x v="2"/>
    <s v="Kerala"/>
    <s v="Kochi"/>
    <x v="0"/>
    <x v="20"/>
    <n v="4"/>
    <n v="3017.84"/>
    <n v="12071.36"/>
    <n v="9525.7000000000007"/>
    <n v="2545.66"/>
    <x v="4"/>
  </r>
  <r>
    <x v="187"/>
    <x v="151"/>
    <s v="Aditya Kumar"/>
    <x v="1"/>
    <s v="Goa"/>
    <s v="Panaji"/>
    <x v="2"/>
    <x v="11"/>
    <n v="2"/>
    <n v="691.54"/>
    <n v="1383.08"/>
    <n v="1074.45"/>
    <n v="308.63"/>
    <x v="2"/>
  </r>
  <r>
    <x v="188"/>
    <x v="38"/>
    <s v="Arjun Rao"/>
    <x v="2"/>
    <s v="Telangana"/>
    <s v="Hyderabad"/>
    <x v="4"/>
    <x v="10"/>
    <n v="6"/>
    <n v="713.44"/>
    <n v="4280.6400000000003"/>
    <n v="3206.52"/>
    <n v="1074.1199999999999"/>
    <x v="5"/>
  </r>
  <r>
    <x v="189"/>
    <x v="152"/>
    <s v="Ananya Patil"/>
    <x v="0"/>
    <s v="Haryana"/>
    <s v="Gurugram"/>
    <x v="1"/>
    <x v="7"/>
    <n v="3"/>
    <n v="17818.55"/>
    <n v="53455.65"/>
    <n v="37855.980000000003"/>
    <n v="15599.67"/>
    <x v="2"/>
  </r>
  <r>
    <x v="190"/>
    <x v="153"/>
    <s v="Aditya Kumar"/>
    <x v="1"/>
    <s v="Gujarat"/>
    <s v="Ahmedabad"/>
    <x v="3"/>
    <x v="15"/>
    <n v="3"/>
    <n v="978.08"/>
    <n v="2934.24"/>
    <n v="2418.48"/>
    <n v="515.76"/>
    <x v="5"/>
  </r>
  <r>
    <x v="191"/>
    <x v="79"/>
    <s v="Sahil Khan"/>
    <x v="1"/>
    <s v="Rajasthan"/>
    <s v="Udaipur"/>
    <x v="4"/>
    <x v="19"/>
    <n v="1"/>
    <n v="504.91"/>
    <n v="504.91"/>
    <n v="383.05"/>
    <n v="121.86"/>
    <x v="5"/>
  </r>
  <r>
    <x v="192"/>
    <x v="109"/>
    <s v="Riya Das"/>
    <x v="3"/>
    <s v="West Bengal"/>
    <s v="Kolkata"/>
    <x v="1"/>
    <x v="6"/>
    <n v="5"/>
    <n v="4844.1099999999997"/>
    <n v="24220.55"/>
    <n v="19639.28"/>
    <n v="4581.2700000000004"/>
    <x v="2"/>
  </r>
  <r>
    <x v="193"/>
    <x v="96"/>
    <s v="Ananya Patil"/>
    <x v="0"/>
    <s v="Delhi"/>
    <s v="New Delhi"/>
    <x v="2"/>
    <x v="2"/>
    <n v="6"/>
    <n v="2432.89"/>
    <n v="14597.34"/>
    <n v="11103.48"/>
    <n v="3493.86"/>
    <x v="4"/>
  </r>
  <r>
    <x v="194"/>
    <x v="30"/>
    <s v="Vikram Shah"/>
    <x v="2"/>
    <s v="Telangana"/>
    <s v="Hyderabad"/>
    <x v="0"/>
    <x v="20"/>
    <n v="4"/>
    <n v="2802.38"/>
    <n v="11209.52"/>
    <n v="9336.19"/>
    <n v="1873.33"/>
    <x v="3"/>
  </r>
  <r>
    <x v="195"/>
    <x v="154"/>
    <s v="Isha Nair"/>
    <x v="0"/>
    <s v="Punjab"/>
    <s v="Ludhiana"/>
    <x v="3"/>
    <x v="23"/>
    <n v="3"/>
    <n v="900.13"/>
    <n v="2700.39"/>
    <n v="2019.4"/>
    <n v="680.99"/>
    <x v="5"/>
  </r>
  <r>
    <x v="196"/>
    <x v="57"/>
    <s v="Sahil Khan"/>
    <x v="1"/>
    <s v="Maharashtra"/>
    <s v="Mumbai"/>
    <x v="1"/>
    <x v="1"/>
    <n v="6"/>
    <n v="53163.45"/>
    <n v="318980.7"/>
    <n v="247129.92"/>
    <n v="71850.78"/>
    <x v="5"/>
  </r>
  <r>
    <x v="197"/>
    <x v="38"/>
    <s v="Pooja Mehta"/>
    <x v="2"/>
    <s v="Telangana"/>
    <s v="Hyderabad"/>
    <x v="3"/>
    <x v="3"/>
    <n v="2"/>
    <n v="2740.05"/>
    <n v="5480.1"/>
    <n v="4402.16"/>
    <n v="1077.94"/>
    <x v="3"/>
  </r>
  <r>
    <x v="198"/>
    <x v="54"/>
    <s v="Meera Kulkarni"/>
    <x v="1"/>
    <s v="Goa"/>
    <s v="Panaji"/>
    <x v="2"/>
    <x v="11"/>
    <n v="3"/>
    <n v="676.37"/>
    <n v="2029.11"/>
    <n v="1424.27"/>
    <n v="604.84"/>
    <x v="3"/>
  </r>
  <r>
    <x v="199"/>
    <x v="155"/>
    <s v="Riya Das"/>
    <x v="0"/>
    <s v="Rajasthan"/>
    <s v="Jaipur"/>
    <x v="1"/>
    <x v="12"/>
    <n v="5"/>
    <n v="2836.53"/>
    <n v="14182.65"/>
    <n v="9789.8700000000008"/>
    <n v="4392.78"/>
    <x v="5"/>
  </r>
  <r>
    <x v="200"/>
    <x v="156"/>
    <s v="Aditya Kumar"/>
    <x v="1"/>
    <s v="Gujarat"/>
    <s v="Ahmedabad"/>
    <x v="4"/>
    <x v="14"/>
    <n v="1"/>
    <n v="913.06"/>
    <n v="913.06"/>
    <n v="748.8"/>
    <n v="164.26"/>
    <x v="0"/>
  </r>
  <r>
    <x v="201"/>
    <x v="69"/>
    <s v="Riya Das"/>
    <x v="3"/>
    <s v="Assam"/>
    <s v="Guwahati"/>
    <x v="1"/>
    <x v="1"/>
    <n v="4"/>
    <n v="55020.01"/>
    <n v="220080.04"/>
    <n v="176569.25"/>
    <n v="43510.79"/>
    <x v="1"/>
  </r>
  <r>
    <x v="202"/>
    <x v="157"/>
    <s v="Sahil Khan"/>
    <x v="2"/>
    <s v="Tamil Nadu"/>
    <s v="Chennai"/>
    <x v="0"/>
    <x v="9"/>
    <n v="5"/>
    <n v="1170.44"/>
    <n v="5852.2"/>
    <n v="5099.24"/>
    <n v="752.96"/>
    <x v="3"/>
  </r>
  <r>
    <x v="203"/>
    <x v="158"/>
    <s v="Pooja Mehta"/>
    <x v="3"/>
    <s v="Odisha"/>
    <s v="Bhubaneswar"/>
    <x v="0"/>
    <x v="0"/>
    <n v="2"/>
    <n v="6212.71"/>
    <n v="12425.42"/>
    <n v="9191.08"/>
    <n v="3234.34"/>
    <x v="2"/>
  </r>
  <r>
    <x v="204"/>
    <x v="87"/>
    <s v="Vikram Shah"/>
    <x v="2"/>
    <s v="Kerala"/>
    <s v="Kochi"/>
    <x v="2"/>
    <x v="2"/>
    <n v="5"/>
    <n v="2716.85"/>
    <n v="13584.25"/>
    <n v="11398.29"/>
    <n v="2185.96"/>
    <x v="2"/>
  </r>
  <r>
    <x v="205"/>
    <x v="112"/>
    <s v="Rahul Verma"/>
    <x v="1"/>
    <s v="Rajasthan"/>
    <s v="Udaipur"/>
    <x v="4"/>
    <x v="14"/>
    <n v="3"/>
    <n v="817.57"/>
    <n v="2452.71"/>
    <n v="2136.46"/>
    <n v="316.25"/>
    <x v="2"/>
  </r>
  <r>
    <x v="206"/>
    <x v="31"/>
    <s v="Rohan Deshmukh"/>
    <x v="3"/>
    <s v="Assam"/>
    <s v="Guwahati"/>
    <x v="1"/>
    <x v="12"/>
    <n v="3"/>
    <n v="3259.81"/>
    <n v="9779.43"/>
    <n v="8011.64"/>
    <n v="1767.79"/>
    <x v="0"/>
  </r>
  <r>
    <x v="207"/>
    <x v="159"/>
    <s v="Meera Kulkarni"/>
    <x v="2"/>
    <s v="Tamil Nadu"/>
    <s v="Chennai"/>
    <x v="1"/>
    <x v="12"/>
    <n v="2"/>
    <n v="3082.77"/>
    <n v="6165.54"/>
    <n v="4257.29"/>
    <n v="1908.25"/>
    <x v="2"/>
  </r>
  <r>
    <x v="208"/>
    <x v="160"/>
    <s v="Riya Das"/>
    <x v="0"/>
    <s v="Punjab"/>
    <s v="Ludhiana"/>
    <x v="1"/>
    <x v="12"/>
    <n v="2"/>
    <n v="2944.14"/>
    <n v="5888.28"/>
    <n v="5105.18"/>
    <n v="783.1"/>
    <x v="4"/>
  </r>
  <r>
    <x v="209"/>
    <x v="21"/>
    <s v="Ananya Patil"/>
    <x v="2"/>
    <s v="Telangana"/>
    <s v="Hyderabad"/>
    <x v="2"/>
    <x v="11"/>
    <n v="1"/>
    <n v="721.32"/>
    <n v="721.32"/>
    <n v="524"/>
    <n v="197.32"/>
    <x v="5"/>
  </r>
  <r>
    <x v="210"/>
    <x v="161"/>
    <s v="Pooja Mehta"/>
    <x v="2"/>
    <s v="Karnataka"/>
    <s v="Bengaluru"/>
    <x v="3"/>
    <x v="23"/>
    <n v="4"/>
    <n v="796.67"/>
    <n v="3186.68"/>
    <n v="2644.31"/>
    <n v="542.37"/>
    <x v="0"/>
  </r>
  <r>
    <x v="211"/>
    <x v="162"/>
    <s v="Aman Jain"/>
    <x v="3"/>
    <s v="West Bengal"/>
    <s v="Kolkata"/>
    <x v="3"/>
    <x v="3"/>
    <n v="3"/>
    <n v="2774.44"/>
    <n v="8323.32"/>
    <n v="6727.43"/>
    <n v="1595.89"/>
    <x v="4"/>
  </r>
  <r>
    <x v="212"/>
    <x v="163"/>
    <s v="Vikram Shah"/>
    <x v="1"/>
    <s v="Goa"/>
    <s v="Panaji"/>
    <x v="1"/>
    <x v="7"/>
    <n v="3"/>
    <n v="16784.98"/>
    <n v="50354.94"/>
    <n v="38863.08"/>
    <n v="11491.86"/>
    <x v="1"/>
  </r>
  <r>
    <x v="213"/>
    <x v="164"/>
    <s v="Arjun Rao"/>
    <x v="0"/>
    <s v="Haryana"/>
    <s v="Gurugram"/>
    <x v="4"/>
    <x v="24"/>
    <n v="6"/>
    <n v="1892.62"/>
    <n v="11355.72"/>
    <n v="8120.46"/>
    <n v="3235.26"/>
    <x v="4"/>
  </r>
  <r>
    <x v="214"/>
    <x v="17"/>
    <s v="Neha Gupta"/>
    <x v="3"/>
    <s v="West Bengal"/>
    <s v="Kolkata"/>
    <x v="2"/>
    <x v="11"/>
    <n v="2"/>
    <n v="767.44"/>
    <n v="1534.88"/>
    <n v="1190.29"/>
    <n v="344.59"/>
    <x v="0"/>
  </r>
  <r>
    <x v="215"/>
    <x v="144"/>
    <s v="Aarav Sharma"/>
    <x v="1"/>
    <s v="Gujarat"/>
    <s v="Ahmedabad"/>
    <x v="2"/>
    <x v="2"/>
    <n v="3"/>
    <n v="2400.9699999999998"/>
    <n v="7202.91"/>
    <n v="5939.35"/>
    <n v="1263.56"/>
    <x v="2"/>
  </r>
  <r>
    <x v="216"/>
    <x v="165"/>
    <s v="Aman Jain"/>
    <x v="3"/>
    <s v="Bihar"/>
    <s v="Patna"/>
    <x v="1"/>
    <x v="7"/>
    <n v="4"/>
    <n v="17304.5"/>
    <n v="69218"/>
    <n v="52680.67"/>
    <n v="16537.330000000002"/>
    <x v="1"/>
  </r>
  <r>
    <x v="217"/>
    <x v="15"/>
    <s v="Sahil Khan"/>
    <x v="0"/>
    <s v="Haryana"/>
    <s v="Gurugram"/>
    <x v="2"/>
    <x v="8"/>
    <n v="2"/>
    <n v="1746.36"/>
    <n v="3492.72"/>
    <n v="2709.08"/>
    <n v="783.64"/>
    <x v="1"/>
  </r>
  <r>
    <x v="218"/>
    <x v="38"/>
    <s v="Neha Gupta"/>
    <x v="3"/>
    <s v="Assam"/>
    <s v="Guwahati"/>
    <x v="0"/>
    <x v="9"/>
    <n v="5"/>
    <n v="1272.48"/>
    <n v="6362.4"/>
    <n v="5377"/>
    <n v="985.4"/>
    <x v="1"/>
  </r>
  <r>
    <x v="219"/>
    <x v="108"/>
    <s v="Kavya Reddy"/>
    <x v="0"/>
    <s v="Rajasthan"/>
    <s v="Jaipur"/>
    <x v="2"/>
    <x v="2"/>
    <n v="1"/>
    <n v="2708.62"/>
    <n v="2708.62"/>
    <n v="1902.65"/>
    <n v="805.97"/>
    <x v="3"/>
  </r>
  <r>
    <x v="220"/>
    <x v="166"/>
    <s v="Nikhil Yadav"/>
    <x v="2"/>
    <s v="Tamil Nadu"/>
    <s v="Chennai"/>
    <x v="2"/>
    <x v="13"/>
    <n v="4"/>
    <n v="1292.55"/>
    <n v="5170.2"/>
    <n v="3728.13"/>
    <n v="1442.07"/>
    <x v="4"/>
  </r>
  <r>
    <x v="221"/>
    <x v="101"/>
    <s v="Sahil Khan"/>
    <x v="1"/>
    <s v="Maharashtra"/>
    <s v="Mumbai"/>
    <x v="2"/>
    <x v="13"/>
    <n v="4"/>
    <n v="1387.9"/>
    <n v="5551.6"/>
    <n v="3839.19"/>
    <n v="1712.41"/>
    <x v="1"/>
  </r>
  <r>
    <x v="222"/>
    <x v="155"/>
    <s v="Meera Kulkarni"/>
    <x v="0"/>
    <s v="Rajasthan"/>
    <s v="Jaipur"/>
    <x v="1"/>
    <x v="7"/>
    <n v="6"/>
    <n v="16984.439999999999"/>
    <n v="101906.64"/>
    <n v="70784.95"/>
    <n v="31121.69"/>
    <x v="2"/>
  </r>
  <r>
    <x v="223"/>
    <x v="167"/>
    <s v="Rohan Deshmukh"/>
    <x v="0"/>
    <s v="Delhi"/>
    <s v="New Delhi"/>
    <x v="3"/>
    <x v="17"/>
    <n v="4"/>
    <n v="1993.96"/>
    <n v="7975.84"/>
    <n v="6075.78"/>
    <n v="1900.06"/>
    <x v="1"/>
  </r>
  <r>
    <x v="224"/>
    <x v="123"/>
    <s v="Arjun Rao"/>
    <x v="1"/>
    <s v="Goa"/>
    <s v="Panaji"/>
    <x v="3"/>
    <x v="23"/>
    <n v="4"/>
    <n v="912.84"/>
    <n v="3651.36"/>
    <n v="3145.11"/>
    <n v="506.25"/>
    <x v="0"/>
  </r>
  <r>
    <x v="225"/>
    <x v="168"/>
    <s v="Neha Gupta"/>
    <x v="2"/>
    <s v="Telangana"/>
    <s v="Hyderabad"/>
    <x v="1"/>
    <x v="12"/>
    <n v="4"/>
    <n v="3017.31"/>
    <n v="12069.24"/>
    <n v="9964.02"/>
    <n v="2105.2199999999998"/>
    <x v="0"/>
  </r>
  <r>
    <x v="226"/>
    <x v="169"/>
    <s v="Neha Gupta"/>
    <x v="3"/>
    <s v="Assam"/>
    <s v="Guwahati"/>
    <x v="0"/>
    <x v="21"/>
    <n v="4"/>
    <n v="603.83000000000004"/>
    <n v="2415.3200000000002"/>
    <n v="2040.15"/>
    <n v="375.17"/>
    <x v="4"/>
  </r>
  <r>
    <x v="227"/>
    <x v="58"/>
    <s v="Aarav Sharma"/>
    <x v="2"/>
    <s v="Telangana"/>
    <s v="Hyderabad"/>
    <x v="1"/>
    <x v="7"/>
    <n v="1"/>
    <n v="19114.12"/>
    <n v="19114.12"/>
    <n v="14600.28"/>
    <n v="4513.84"/>
    <x v="5"/>
  </r>
  <r>
    <x v="228"/>
    <x v="170"/>
    <s v="Neha Gupta"/>
    <x v="0"/>
    <s v="Delhi"/>
    <s v="New Delhi"/>
    <x v="0"/>
    <x v="9"/>
    <n v="5"/>
    <n v="1241.29"/>
    <n v="6206.45"/>
    <n v="5303.05"/>
    <n v="903.4"/>
    <x v="1"/>
  </r>
  <r>
    <x v="229"/>
    <x v="171"/>
    <s v="Neha Gupta"/>
    <x v="1"/>
    <s v="Rajasthan"/>
    <s v="Udaipur"/>
    <x v="1"/>
    <x v="1"/>
    <n v="1"/>
    <n v="51041.49"/>
    <n v="51041.49"/>
    <n v="44849.99"/>
    <n v="6191.5"/>
    <x v="1"/>
  </r>
  <r>
    <x v="230"/>
    <x v="172"/>
    <s v="Vikram Shah"/>
    <x v="3"/>
    <s v="Odisha"/>
    <s v="Bhubaneswar"/>
    <x v="1"/>
    <x v="1"/>
    <n v="6"/>
    <n v="55233.760000000002"/>
    <n v="331402.56"/>
    <n v="252764.72"/>
    <n v="78637.84"/>
    <x v="0"/>
  </r>
  <r>
    <x v="231"/>
    <x v="173"/>
    <s v="Aman Jain"/>
    <x v="2"/>
    <s v="Kerala"/>
    <s v="Kochi"/>
    <x v="0"/>
    <x v="20"/>
    <n v="3"/>
    <n v="3047.29"/>
    <n v="9141.8700000000008"/>
    <n v="7443.94"/>
    <n v="1697.93"/>
    <x v="2"/>
  </r>
  <r>
    <x v="232"/>
    <x v="45"/>
    <s v="Neha Gupta"/>
    <x v="1"/>
    <s v="Rajasthan"/>
    <s v="Udaipur"/>
    <x v="1"/>
    <x v="6"/>
    <n v="2"/>
    <n v="4728.97"/>
    <n v="9457.94"/>
    <n v="7327.1"/>
    <n v="2130.84"/>
    <x v="2"/>
  </r>
  <r>
    <x v="233"/>
    <x v="174"/>
    <s v="Rohan Deshmukh"/>
    <x v="2"/>
    <s v="Kerala"/>
    <s v="Kochi"/>
    <x v="3"/>
    <x v="16"/>
    <n v="4"/>
    <n v="1749.69"/>
    <n v="6998.76"/>
    <n v="5539.22"/>
    <n v="1459.54"/>
    <x v="4"/>
  </r>
  <r>
    <x v="234"/>
    <x v="81"/>
    <s v="Aditya Kumar"/>
    <x v="3"/>
    <s v="Bihar"/>
    <s v="Patna"/>
    <x v="2"/>
    <x v="11"/>
    <n v="4"/>
    <n v="748.6"/>
    <n v="2994.4"/>
    <n v="2091.5700000000002"/>
    <n v="902.83"/>
    <x v="0"/>
  </r>
  <r>
    <x v="235"/>
    <x v="175"/>
    <s v="Riya Das"/>
    <x v="1"/>
    <s v="Maharashtra"/>
    <s v="Mumbai"/>
    <x v="4"/>
    <x v="14"/>
    <n v="5"/>
    <n v="940.37"/>
    <n v="4701.8500000000004"/>
    <n v="3722.78"/>
    <n v="979.07"/>
    <x v="5"/>
  </r>
  <r>
    <x v="236"/>
    <x v="122"/>
    <s v="Riya Das"/>
    <x v="3"/>
    <s v="West Bengal"/>
    <s v="Kolkata"/>
    <x v="1"/>
    <x v="1"/>
    <n v="6"/>
    <n v="50790.48"/>
    <n v="304742.88"/>
    <n v="268147.65000000002"/>
    <n v="36595.230000000003"/>
    <x v="5"/>
  </r>
  <r>
    <x v="237"/>
    <x v="45"/>
    <s v="Kavya Reddy"/>
    <x v="2"/>
    <s v="Kerala"/>
    <s v="Kochi"/>
    <x v="3"/>
    <x v="16"/>
    <n v="3"/>
    <n v="1688.16"/>
    <n v="5064.4799999999996"/>
    <n v="3829.42"/>
    <n v="1235.06"/>
    <x v="1"/>
  </r>
  <r>
    <x v="238"/>
    <x v="176"/>
    <s v="Riya Das"/>
    <x v="3"/>
    <s v="Odisha"/>
    <s v="Bhubaneswar"/>
    <x v="2"/>
    <x v="4"/>
    <n v="4"/>
    <n v="2943.11"/>
    <n v="11772.44"/>
    <n v="10315.76"/>
    <n v="1456.68"/>
    <x v="2"/>
  </r>
  <r>
    <x v="239"/>
    <x v="177"/>
    <s v="Kavya Reddy"/>
    <x v="3"/>
    <s v="Odisha"/>
    <s v="Bhubaneswar"/>
    <x v="2"/>
    <x v="13"/>
    <n v="2"/>
    <n v="1467.55"/>
    <n v="2935.1"/>
    <n v="2005.39"/>
    <n v="929.71"/>
    <x v="3"/>
  </r>
  <r>
    <x v="240"/>
    <x v="178"/>
    <s v="Riya Das"/>
    <x v="1"/>
    <s v="Goa"/>
    <s v="Panaji"/>
    <x v="1"/>
    <x v="5"/>
    <n v="2"/>
    <n v="2439.92"/>
    <n v="4879.84"/>
    <n v="4131.63"/>
    <n v="748.21"/>
    <x v="3"/>
  </r>
  <r>
    <x v="241"/>
    <x v="42"/>
    <s v="Sneha Joshi"/>
    <x v="3"/>
    <s v="Odisha"/>
    <s v="Bhubaneswar"/>
    <x v="4"/>
    <x v="19"/>
    <n v="6"/>
    <n v="565.59"/>
    <n v="3393.54"/>
    <n v="2640.58"/>
    <n v="752.96"/>
    <x v="1"/>
  </r>
  <r>
    <x v="242"/>
    <x v="124"/>
    <s v="Ananya Patil"/>
    <x v="2"/>
    <s v="Tamil Nadu"/>
    <s v="Chennai"/>
    <x v="0"/>
    <x v="9"/>
    <n v="2"/>
    <n v="1300.06"/>
    <n v="2600.12"/>
    <n v="2050.0100000000002"/>
    <n v="550.11"/>
    <x v="3"/>
  </r>
  <r>
    <x v="243"/>
    <x v="179"/>
    <s v="Rohan Deshmukh"/>
    <x v="0"/>
    <s v="Delhi"/>
    <s v="New Delhi"/>
    <x v="4"/>
    <x v="19"/>
    <n v="2"/>
    <n v="587.67999999999995"/>
    <n v="1175.3599999999999"/>
    <n v="853.65"/>
    <n v="321.70999999999998"/>
    <x v="0"/>
  </r>
  <r>
    <x v="244"/>
    <x v="180"/>
    <s v="Kavya Reddy"/>
    <x v="1"/>
    <s v="Goa"/>
    <s v="Panaji"/>
    <x v="1"/>
    <x v="12"/>
    <n v="4"/>
    <n v="3095.57"/>
    <n v="12382.28"/>
    <n v="8458.91"/>
    <n v="3923.37"/>
    <x v="3"/>
  </r>
  <r>
    <x v="245"/>
    <x v="148"/>
    <s v="Meera Kulkarni"/>
    <x v="0"/>
    <s v="Delhi"/>
    <s v="New Delhi"/>
    <x v="2"/>
    <x v="2"/>
    <n v="5"/>
    <n v="2738.74"/>
    <n v="13693.7"/>
    <n v="9358.67"/>
    <n v="4335.03"/>
    <x v="5"/>
  </r>
  <r>
    <x v="246"/>
    <x v="181"/>
    <s v="Arjun Rao"/>
    <x v="0"/>
    <s v="Punjab"/>
    <s v="Ludhiana"/>
    <x v="1"/>
    <x v="12"/>
    <n v="5"/>
    <n v="2851.45"/>
    <n v="14257.25"/>
    <n v="10705.6"/>
    <n v="3551.65"/>
    <x v="0"/>
  </r>
  <r>
    <x v="247"/>
    <x v="88"/>
    <s v="Ananya Patil"/>
    <x v="1"/>
    <s v="Rajasthan"/>
    <s v="Udaipur"/>
    <x v="0"/>
    <x v="0"/>
    <n v="3"/>
    <n v="6739.25"/>
    <n v="20217.75"/>
    <n v="17176.46"/>
    <n v="3041.29"/>
    <x v="0"/>
  </r>
  <r>
    <x v="248"/>
    <x v="182"/>
    <s v="Riya Das"/>
    <x v="1"/>
    <s v="Rajasthan"/>
    <s v="Udaipur"/>
    <x v="0"/>
    <x v="20"/>
    <n v="6"/>
    <n v="2525.29"/>
    <n v="15151.74"/>
    <n v="10822.54"/>
    <n v="4329.2"/>
    <x v="4"/>
  </r>
  <r>
    <x v="249"/>
    <x v="123"/>
    <s v="Nikhil Yadav"/>
    <x v="3"/>
    <s v="West Bengal"/>
    <s v="Kolkata"/>
    <x v="4"/>
    <x v="18"/>
    <n v="2"/>
    <n v="424.03"/>
    <n v="848.06"/>
    <n v="723.92"/>
    <n v="124.14"/>
    <x v="4"/>
  </r>
  <r>
    <x v="250"/>
    <x v="183"/>
    <s v="Karan Malhotra"/>
    <x v="0"/>
    <s v="Delhi"/>
    <s v="New Delhi"/>
    <x v="0"/>
    <x v="22"/>
    <n v="5"/>
    <n v="4253.3500000000004"/>
    <n v="21266.75"/>
    <n v="14601.33"/>
    <n v="6665.42"/>
    <x v="0"/>
  </r>
  <r>
    <x v="251"/>
    <x v="184"/>
    <s v="Arjun Rao"/>
    <x v="2"/>
    <s v="Kerala"/>
    <s v="Kochi"/>
    <x v="3"/>
    <x v="3"/>
    <n v="2"/>
    <n v="2835.82"/>
    <n v="5671.64"/>
    <n v="4499.53"/>
    <n v="1172.1099999999999"/>
    <x v="1"/>
  </r>
  <r>
    <x v="252"/>
    <x v="12"/>
    <s v="Isha Nair"/>
    <x v="3"/>
    <s v="Assam"/>
    <s v="Guwahati"/>
    <x v="4"/>
    <x v="14"/>
    <n v="6"/>
    <n v="940.35"/>
    <n v="5642.1"/>
    <n v="4401.7299999999996"/>
    <n v="1240.3699999999999"/>
    <x v="0"/>
  </r>
  <r>
    <x v="253"/>
    <x v="100"/>
    <s v="Arjun Rao"/>
    <x v="1"/>
    <s v="Gujarat"/>
    <s v="Ahmedabad"/>
    <x v="4"/>
    <x v="10"/>
    <n v="5"/>
    <n v="684.97"/>
    <n v="3424.85"/>
    <n v="2982.95"/>
    <n v="441.9"/>
    <x v="2"/>
  </r>
  <r>
    <x v="254"/>
    <x v="185"/>
    <s v="Nikhil Yadav"/>
    <x v="3"/>
    <s v="Assam"/>
    <s v="Guwahati"/>
    <x v="2"/>
    <x v="2"/>
    <n v="5"/>
    <n v="2720.57"/>
    <n v="13602.85"/>
    <n v="10424.81"/>
    <n v="3178.04"/>
    <x v="1"/>
  </r>
  <r>
    <x v="255"/>
    <x v="186"/>
    <s v="Rohan Deshmukh"/>
    <x v="0"/>
    <s v="Haryana"/>
    <s v="Gurugram"/>
    <x v="4"/>
    <x v="18"/>
    <n v="1"/>
    <n v="429.12"/>
    <n v="429.12"/>
    <n v="324.41000000000003"/>
    <n v="104.71"/>
    <x v="1"/>
  </r>
  <r>
    <x v="256"/>
    <x v="187"/>
    <s v="Priya Singh"/>
    <x v="3"/>
    <s v="Odisha"/>
    <s v="Bhubaneswar"/>
    <x v="1"/>
    <x v="7"/>
    <n v="3"/>
    <n v="17801.05"/>
    <n v="53403.15"/>
    <n v="44445.8"/>
    <n v="8957.35"/>
    <x v="5"/>
  </r>
  <r>
    <x v="257"/>
    <x v="188"/>
    <s v="Isha Nair"/>
    <x v="2"/>
    <s v="Kerala"/>
    <s v="Kochi"/>
    <x v="2"/>
    <x v="13"/>
    <n v="5"/>
    <n v="1374.25"/>
    <n v="6871.25"/>
    <n v="4708.54"/>
    <n v="2162.71"/>
    <x v="3"/>
  </r>
  <r>
    <x v="258"/>
    <x v="189"/>
    <s v="Kavya Reddy"/>
    <x v="3"/>
    <s v="Assam"/>
    <s v="Guwahati"/>
    <x v="1"/>
    <x v="6"/>
    <n v="4"/>
    <n v="4751.25"/>
    <n v="19005"/>
    <n v="15678.53"/>
    <n v="3326.47"/>
    <x v="5"/>
  </r>
  <r>
    <x v="259"/>
    <x v="190"/>
    <s v="Sneha Joshi"/>
    <x v="2"/>
    <s v="Kerala"/>
    <s v="Kochi"/>
    <x v="1"/>
    <x v="5"/>
    <n v="3"/>
    <n v="2384.1999999999998"/>
    <n v="7152.6"/>
    <n v="5072.53"/>
    <n v="2080.0700000000002"/>
    <x v="4"/>
  </r>
  <r>
    <x v="260"/>
    <x v="103"/>
    <s v="Riya Das"/>
    <x v="1"/>
    <s v="Goa"/>
    <s v="Panaji"/>
    <x v="2"/>
    <x v="11"/>
    <n v="3"/>
    <n v="665.24"/>
    <n v="1995.72"/>
    <n v="1455.51"/>
    <n v="540.21"/>
    <x v="3"/>
  </r>
  <r>
    <x v="261"/>
    <x v="159"/>
    <s v="Simran Kaur"/>
    <x v="2"/>
    <s v="Kerala"/>
    <s v="Kochi"/>
    <x v="1"/>
    <x v="5"/>
    <n v="1"/>
    <n v="2724.41"/>
    <n v="2724.41"/>
    <n v="2033.62"/>
    <n v="690.79"/>
    <x v="4"/>
  </r>
  <r>
    <x v="262"/>
    <x v="77"/>
    <s v="Aditya Kumar"/>
    <x v="1"/>
    <s v="Goa"/>
    <s v="Panaji"/>
    <x v="2"/>
    <x v="13"/>
    <n v="2"/>
    <n v="1344.12"/>
    <n v="2688.24"/>
    <n v="2152.3200000000002"/>
    <n v="535.91999999999996"/>
    <x v="4"/>
  </r>
  <r>
    <x v="263"/>
    <x v="191"/>
    <s v="Nikhil Yadav"/>
    <x v="2"/>
    <s v="Kerala"/>
    <s v="Kochi"/>
    <x v="3"/>
    <x v="3"/>
    <n v="6"/>
    <n v="2909.18"/>
    <n v="17455.080000000002"/>
    <n v="13583.57"/>
    <n v="3871.51"/>
    <x v="5"/>
  </r>
  <r>
    <x v="264"/>
    <x v="192"/>
    <s v="Nikhil Yadav"/>
    <x v="1"/>
    <s v="Goa"/>
    <s v="Panaji"/>
    <x v="4"/>
    <x v="19"/>
    <n v="3"/>
    <n v="507.53"/>
    <n v="1522.59"/>
    <n v="1207.06"/>
    <n v="315.52999999999997"/>
    <x v="3"/>
  </r>
  <r>
    <x v="265"/>
    <x v="193"/>
    <s v="Rahul Verma"/>
    <x v="0"/>
    <s v="Rajasthan"/>
    <s v="Jaipur"/>
    <x v="3"/>
    <x v="15"/>
    <n v="4"/>
    <n v="953.58"/>
    <n v="3814.32"/>
    <n v="3227.89"/>
    <n v="586.42999999999995"/>
    <x v="4"/>
  </r>
  <r>
    <x v="266"/>
    <x v="194"/>
    <s v="Arjun Rao"/>
    <x v="1"/>
    <s v="Gujarat"/>
    <s v="Ahmedabad"/>
    <x v="0"/>
    <x v="0"/>
    <n v="3"/>
    <n v="6706.26"/>
    <n v="20118.78"/>
    <n v="16558.71"/>
    <n v="3560.07"/>
    <x v="0"/>
  </r>
  <r>
    <x v="267"/>
    <x v="105"/>
    <s v="Kavya Reddy"/>
    <x v="1"/>
    <s v="Rajasthan"/>
    <s v="Udaipur"/>
    <x v="2"/>
    <x v="4"/>
    <n v="5"/>
    <n v="2903.53"/>
    <n v="14517.65"/>
    <n v="12683.86"/>
    <n v="1833.79"/>
    <x v="3"/>
  </r>
  <r>
    <x v="268"/>
    <x v="195"/>
    <s v="Arjun Rao"/>
    <x v="0"/>
    <s v="Delhi"/>
    <s v="New Delhi"/>
    <x v="4"/>
    <x v="10"/>
    <n v="2"/>
    <n v="669.11"/>
    <n v="1338.22"/>
    <n v="921.85"/>
    <n v="416.37"/>
    <x v="2"/>
  </r>
  <r>
    <x v="269"/>
    <x v="32"/>
    <s v="Nikhil Yadav"/>
    <x v="0"/>
    <s v="Delhi"/>
    <s v="New Delhi"/>
    <x v="1"/>
    <x v="1"/>
    <n v="5"/>
    <n v="57715.38"/>
    <n v="288576.90000000002"/>
    <n v="228437.09"/>
    <n v="60139.81"/>
    <x v="5"/>
  </r>
  <r>
    <x v="270"/>
    <x v="83"/>
    <s v="Aarav Sharma"/>
    <x v="3"/>
    <s v="Assam"/>
    <s v="Guwahati"/>
    <x v="2"/>
    <x v="13"/>
    <n v="6"/>
    <n v="1400.13"/>
    <n v="8400.7800000000007"/>
    <n v="6292.13"/>
    <n v="2108.65"/>
    <x v="4"/>
  </r>
  <r>
    <x v="271"/>
    <x v="113"/>
    <s v="Isha Nair"/>
    <x v="3"/>
    <s v="Assam"/>
    <s v="Guwahati"/>
    <x v="3"/>
    <x v="17"/>
    <n v="1"/>
    <n v="2345.7800000000002"/>
    <n v="2345.7800000000002"/>
    <n v="1937.68"/>
    <n v="408.1"/>
    <x v="2"/>
  </r>
  <r>
    <x v="272"/>
    <x v="158"/>
    <s v="Sahil Khan"/>
    <x v="1"/>
    <s v="Gujarat"/>
    <s v="Ahmedabad"/>
    <x v="2"/>
    <x v="2"/>
    <n v="4"/>
    <n v="2298.81"/>
    <n v="9195.24"/>
    <n v="7580.54"/>
    <n v="1614.7"/>
    <x v="2"/>
  </r>
  <r>
    <x v="273"/>
    <x v="196"/>
    <s v="Sneha Joshi"/>
    <x v="3"/>
    <s v="West Bengal"/>
    <s v="Kolkata"/>
    <x v="4"/>
    <x v="18"/>
    <n v="1"/>
    <n v="481.43"/>
    <n v="481.43"/>
    <n v="389.76"/>
    <n v="91.67"/>
    <x v="1"/>
  </r>
  <r>
    <x v="274"/>
    <x v="81"/>
    <s v="Sneha Joshi"/>
    <x v="2"/>
    <s v="Tamil Nadu"/>
    <s v="Chennai"/>
    <x v="2"/>
    <x v="4"/>
    <n v="4"/>
    <n v="3028.39"/>
    <n v="12113.56"/>
    <n v="9218.5300000000007"/>
    <n v="2895.03"/>
    <x v="5"/>
  </r>
  <r>
    <x v="275"/>
    <x v="0"/>
    <s v="Aarav Sharma"/>
    <x v="1"/>
    <s v="Rajasthan"/>
    <s v="Udaipur"/>
    <x v="1"/>
    <x v="12"/>
    <n v="2"/>
    <n v="2969.75"/>
    <n v="5939.5"/>
    <n v="4549.13"/>
    <n v="1390.37"/>
    <x v="1"/>
  </r>
  <r>
    <x v="276"/>
    <x v="197"/>
    <s v="Sneha Joshi"/>
    <x v="2"/>
    <s v="Telangana"/>
    <s v="Hyderabad"/>
    <x v="4"/>
    <x v="18"/>
    <n v="5"/>
    <n v="414.16"/>
    <n v="2070.8000000000002"/>
    <n v="1769.28"/>
    <n v="301.52"/>
    <x v="2"/>
  </r>
  <r>
    <x v="277"/>
    <x v="192"/>
    <s v="Arjun Rao"/>
    <x v="2"/>
    <s v="Kerala"/>
    <s v="Kochi"/>
    <x v="1"/>
    <x v="6"/>
    <n v="5"/>
    <n v="4919.32"/>
    <n v="24596.6"/>
    <n v="18267.419999999998"/>
    <n v="6329.18"/>
    <x v="3"/>
  </r>
  <r>
    <x v="278"/>
    <x v="198"/>
    <s v="Pooja Mehta"/>
    <x v="0"/>
    <s v="Haryana"/>
    <s v="Gurugram"/>
    <x v="2"/>
    <x v="4"/>
    <n v="5"/>
    <n v="2990.42"/>
    <n v="14952.1"/>
    <n v="12181.74"/>
    <n v="2770.36"/>
    <x v="3"/>
  </r>
  <r>
    <x v="279"/>
    <x v="1"/>
    <s v="Rohan Deshmukh"/>
    <x v="0"/>
    <s v="Punjab"/>
    <s v="Ludhiana"/>
    <x v="2"/>
    <x v="8"/>
    <n v="3"/>
    <n v="1477.42"/>
    <n v="4432.26"/>
    <n v="3344.85"/>
    <n v="1087.4100000000001"/>
    <x v="3"/>
  </r>
  <r>
    <x v="280"/>
    <x v="199"/>
    <s v="Sneha Joshi"/>
    <x v="1"/>
    <s v="Gujarat"/>
    <s v="Ahmedabad"/>
    <x v="0"/>
    <x v="9"/>
    <n v="2"/>
    <n v="1196.8"/>
    <n v="2393.6"/>
    <n v="1884.9"/>
    <n v="508.7"/>
    <x v="3"/>
  </r>
  <r>
    <x v="281"/>
    <x v="56"/>
    <s v="Aarav Sharma"/>
    <x v="1"/>
    <s v="Goa"/>
    <s v="Panaji"/>
    <x v="1"/>
    <x v="5"/>
    <n v="4"/>
    <n v="2559.6999999999998"/>
    <n v="10238.799999999999"/>
    <n v="8734.77"/>
    <n v="1504.03"/>
    <x v="4"/>
  </r>
  <r>
    <x v="282"/>
    <x v="200"/>
    <s v="Meera Kulkarni"/>
    <x v="2"/>
    <s v="Kerala"/>
    <s v="Kochi"/>
    <x v="3"/>
    <x v="16"/>
    <n v="6"/>
    <n v="1598.39"/>
    <n v="9590.34"/>
    <n v="7834.73"/>
    <n v="1755.61"/>
    <x v="1"/>
  </r>
  <r>
    <x v="283"/>
    <x v="141"/>
    <s v="Kavya Reddy"/>
    <x v="1"/>
    <s v="Gujarat"/>
    <s v="Ahmedabad"/>
    <x v="1"/>
    <x v="7"/>
    <n v="2"/>
    <n v="17251.52"/>
    <n v="34503.040000000001"/>
    <n v="25358.720000000001"/>
    <n v="9144.32"/>
    <x v="2"/>
  </r>
  <r>
    <x v="284"/>
    <x v="201"/>
    <s v="Isha Nair"/>
    <x v="1"/>
    <s v="Rajasthan"/>
    <s v="Udaipur"/>
    <x v="2"/>
    <x v="11"/>
    <n v="5"/>
    <n v="645.99"/>
    <n v="3229.95"/>
    <n v="2697.08"/>
    <n v="532.87"/>
    <x v="3"/>
  </r>
  <r>
    <x v="285"/>
    <x v="202"/>
    <s v="Pooja Mehta"/>
    <x v="1"/>
    <s v="Gujarat"/>
    <s v="Ahmedabad"/>
    <x v="3"/>
    <x v="17"/>
    <n v="6"/>
    <n v="2345.23"/>
    <n v="14071.38"/>
    <n v="11683.03"/>
    <n v="2388.35"/>
    <x v="0"/>
  </r>
  <r>
    <x v="286"/>
    <x v="203"/>
    <s v="Neha Gupta"/>
    <x v="3"/>
    <s v="Odisha"/>
    <s v="Bhubaneswar"/>
    <x v="4"/>
    <x v="18"/>
    <n v="4"/>
    <n v="482.88"/>
    <n v="1931.52"/>
    <n v="1358.78"/>
    <n v="572.74"/>
    <x v="5"/>
  </r>
  <r>
    <x v="287"/>
    <x v="16"/>
    <s v="Nikhil Yadav"/>
    <x v="3"/>
    <s v="Assam"/>
    <s v="Guwahati"/>
    <x v="1"/>
    <x v="1"/>
    <n v="2"/>
    <n v="58448.83"/>
    <n v="116897.66"/>
    <n v="98321.23"/>
    <n v="18576.43"/>
    <x v="2"/>
  </r>
  <r>
    <x v="288"/>
    <x v="204"/>
    <s v="Aman Jain"/>
    <x v="3"/>
    <s v="Bihar"/>
    <s v="Patna"/>
    <x v="2"/>
    <x v="2"/>
    <n v="3"/>
    <n v="2536.37"/>
    <n v="7609.11"/>
    <n v="6623.57"/>
    <n v="985.54"/>
    <x v="1"/>
  </r>
  <r>
    <x v="289"/>
    <x v="127"/>
    <s v="Neha Gupta"/>
    <x v="2"/>
    <s v="Kerala"/>
    <s v="Kochi"/>
    <x v="3"/>
    <x v="3"/>
    <n v="6"/>
    <n v="2591.06"/>
    <n v="15546.36"/>
    <n v="13264.4"/>
    <n v="2281.96"/>
    <x v="5"/>
  </r>
  <r>
    <x v="290"/>
    <x v="205"/>
    <s v="Meera Kulkarni"/>
    <x v="3"/>
    <s v="Bihar"/>
    <s v="Patna"/>
    <x v="4"/>
    <x v="19"/>
    <n v="4"/>
    <n v="510.64"/>
    <n v="2042.56"/>
    <n v="1647.28"/>
    <n v="395.28"/>
    <x v="4"/>
  </r>
  <r>
    <x v="291"/>
    <x v="206"/>
    <s v="Riya Das"/>
    <x v="0"/>
    <s v="Delhi"/>
    <s v="New Delhi"/>
    <x v="2"/>
    <x v="2"/>
    <n v="6"/>
    <n v="2718.17"/>
    <n v="16309.02"/>
    <n v="12293.97"/>
    <n v="4015.05"/>
    <x v="2"/>
  </r>
  <r>
    <x v="292"/>
    <x v="207"/>
    <s v="Rahul Verma"/>
    <x v="0"/>
    <s v="Delhi"/>
    <s v="New Delhi"/>
    <x v="0"/>
    <x v="9"/>
    <n v="6"/>
    <n v="1239.3900000000001"/>
    <n v="7436.34"/>
    <n v="5589.48"/>
    <n v="1846.86"/>
    <x v="3"/>
  </r>
  <r>
    <x v="293"/>
    <x v="120"/>
    <s v="Kavya Reddy"/>
    <x v="2"/>
    <s v="Kerala"/>
    <s v="Kochi"/>
    <x v="4"/>
    <x v="19"/>
    <n v="3"/>
    <n v="530.52"/>
    <n v="1591.56"/>
    <n v="1172.53"/>
    <n v="419.03"/>
    <x v="3"/>
  </r>
  <r>
    <x v="294"/>
    <x v="208"/>
    <s v="Sahil Khan"/>
    <x v="1"/>
    <s v="Goa"/>
    <s v="Panaji"/>
    <x v="4"/>
    <x v="18"/>
    <n v="1"/>
    <n v="413.96"/>
    <n v="413.96"/>
    <n v="346.39"/>
    <n v="67.569999999999993"/>
    <x v="0"/>
  </r>
  <r>
    <x v="295"/>
    <x v="138"/>
    <s v="Pooja Mehta"/>
    <x v="2"/>
    <s v="Kerala"/>
    <s v="Kochi"/>
    <x v="2"/>
    <x v="4"/>
    <n v="2"/>
    <n v="3517.24"/>
    <n v="7034.48"/>
    <n v="6062.89"/>
    <n v="971.59"/>
    <x v="5"/>
  </r>
  <r>
    <x v="296"/>
    <x v="209"/>
    <s v="Arjun Rao"/>
    <x v="0"/>
    <s v="Haryana"/>
    <s v="Gurugram"/>
    <x v="1"/>
    <x v="5"/>
    <n v="6"/>
    <n v="2701.9"/>
    <n v="16211.4"/>
    <n v="11560.43"/>
    <n v="4650.97"/>
    <x v="1"/>
  </r>
  <r>
    <x v="297"/>
    <x v="210"/>
    <s v="Nikhil Yadav"/>
    <x v="2"/>
    <s v="Kerala"/>
    <s v="Kochi"/>
    <x v="0"/>
    <x v="20"/>
    <n v="1"/>
    <n v="2639.52"/>
    <n v="2639.52"/>
    <n v="1836.02"/>
    <n v="803.5"/>
    <x v="5"/>
  </r>
  <r>
    <x v="298"/>
    <x v="139"/>
    <s v="Rohan Deshmukh"/>
    <x v="1"/>
    <s v="Maharashtra"/>
    <s v="Mumbai"/>
    <x v="1"/>
    <x v="5"/>
    <n v="1"/>
    <n v="2744.08"/>
    <n v="2744.08"/>
    <n v="2097.75"/>
    <n v="646.33000000000004"/>
    <x v="4"/>
  </r>
  <r>
    <x v="299"/>
    <x v="211"/>
    <s v="Rohan Deshmukh"/>
    <x v="2"/>
    <s v="Kerala"/>
    <s v="Kochi"/>
    <x v="1"/>
    <x v="7"/>
    <n v="1"/>
    <n v="17328.07"/>
    <n v="17328.07"/>
    <n v="14836.26"/>
    <n v="2491.81"/>
    <x v="4"/>
  </r>
  <r>
    <x v="300"/>
    <x v="163"/>
    <s v="Aditya Kumar"/>
    <x v="2"/>
    <s v="Karnataka"/>
    <s v="Bengaluru"/>
    <x v="2"/>
    <x v="11"/>
    <n v="5"/>
    <n v="721"/>
    <n v="3605"/>
    <n v="2768.71"/>
    <n v="836.29"/>
    <x v="1"/>
  </r>
  <r>
    <x v="301"/>
    <x v="212"/>
    <s v="Arjun Rao"/>
    <x v="1"/>
    <s v="Rajasthan"/>
    <s v="Udaipur"/>
    <x v="4"/>
    <x v="18"/>
    <n v="1"/>
    <n v="417.6"/>
    <n v="417.6"/>
    <n v="294.25"/>
    <n v="123.35"/>
    <x v="2"/>
  </r>
  <r>
    <x v="302"/>
    <x v="213"/>
    <s v="Simran Kaur"/>
    <x v="3"/>
    <s v="Bihar"/>
    <s v="Patna"/>
    <x v="1"/>
    <x v="7"/>
    <n v="2"/>
    <n v="18192.23"/>
    <n v="36384.46"/>
    <n v="29107.63"/>
    <n v="7276.83"/>
    <x v="2"/>
  </r>
  <r>
    <x v="303"/>
    <x v="63"/>
    <s v="Ananya Patil"/>
    <x v="0"/>
    <s v="Haryana"/>
    <s v="Gurugram"/>
    <x v="1"/>
    <x v="12"/>
    <n v="5"/>
    <n v="2813.19"/>
    <n v="14065.95"/>
    <n v="10666.92"/>
    <n v="3399.03"/>
    <x v="5"/>
  </r>
  <r>
    <x v="304"/>
    <x v="214"/>
    <s v="Isha Nair"/>
    <x v="1"/>
    <s v="Maharashtra"/>
    <s v="Mumbai"/>
    <x v="1"/>
    <x v="12"/>
    <n v="1"/>
    <n v="3016.97"/>
    <n v="3016.97"/>
    <n v="2641.48"/>
    <n v="375.49"/>
    <x v="2"/>
  </r>
  <r>
    <x v="305"/>
    <x v="93"/>
    <s v="Aarav Sharma"/>
    <x v="1"/>
    <s v="Rajasthan"/>
    <s v="Udaipur"/>
    <x v="2"/>
    <x v="8"/>
    <n v="4"/>
    <n v="1745.42"/>
    <n v="6981.68"/>
    <n v="5823.23"/>
    <n v="1158.45"/>
    <x v="3"/>
  </r>
  <r>
    <x v="306"/>
    <x v="196"/>
    <s v="Aman Jain"/>
    <x v="0"/>
    <s v="Haryana"/>
    <s v="Gurugram"/>
    <x v="1"/>
    <x v="7"/>
    <n v="4"/>
    <n v="18023.8"/>
    <n v="72095.199999999997"/>
    <n v="58088.12"/>
    <n v="14007.08"/>
    <x v="4"/>
  </r>
  <r>
    <x v="307"/>
    <x v="20"/>
    <s v="Rahul Verma"/>
    <x v="1"/>
    <s v="Maharashtra"/>
    <s v="Mumbai"/>
    <x v="0"/>
    <x v="21"/>
    <n v="5"/>
    <n v="558.32000000000005"/>
    <n v="2791.6"/>
    <n v="1944.96"/>
    <n v="846.64"/>
    <x v="3"/>
  </r>
  <r>
    <x v="308"/>
    <x v="177"/>
    <s v="Neha Gupta"/>
    <x v="2"/>
    <s v="Telangana"/>
    <s v="Hyderabad"/>
    <x v="2"/>
    <x v="11"/>
    <n v="3"/>
    <n v="727.81"/>
    <n v="2183.4299999999998"/>
    <n v="1803.5"/>
    <n v="379.93"/>
    <x v="0"/>
  </r>
  <r>
    <x v="309"/>
    <x v="151"/>
    <s v="Sneha Joshi"/>
    <x v="0"/>
    <s v="Rajasthan"/>
    <s v="Jaipur"/>
    <x v="1"/>
    <x v="12"/>
    <n v="5"/>
    <n v="2733.02"/>
    <n v="13665.1"/>
    <n v="11112.68"/>
    <n v="2552.42"/>
    <x v="0"/>
  </r>
  <r>
    <x v="310"/>
    <x v="215"/>
    <s v="Vikram Shah"/>
    <x v="2"/>
    <s v="Karnataka"/>
    <s v="Bengaluru"/>
    <x v="1"/>
    <x v="5"/>
    <n v="5"/>
    <n v="2508.61"/>
    <n v="12543.05"/>
    <n v="10592.62"/>
    <n v="1950.43"/>
    <x v="5"/>
  </r>
  <r>
    <x v="311"/>
    <x v="216"/>
    <s v="Aman Jain"/>
    <x v="2"/>
    <s v="Telangana"/>
    <s v="Hyderabad"/>
    <x v="0"/>
    <x v="20"/>
    <n v="1"/>
    <n v="2707.61"/>
    <n v="2707.61"/>
    <n v="2073.66"/>
    <n v="633.95000000000005"/>
    <x v="0"/>
  </r>
  <r>
    <x v="312"/>
    <x v="9"/>
    <s v="Isha Nair"/>
    <x v="0"/>
    <s v="Rajasthan"/>
    <s v="Jaipur"/>
    <x v="2"/>
    <x v="2"/>
    <n v="1"/>
    <n v="2499.81"/>
    <n v="2499.81"/>
    <n v="1983.29"/>
    <n v="516.52"/>
    <x v="5"/>
  </r>
  <r>
    <x v="313"/>
    <x v="217"/>
    <s v="Neha Gupta"/>
    <x v="0"/>
    <s v="Delhi"/>
    <s v="New Delhi"/>
    <x v="1"/>
    <x v="12"/>
    <n v="1"/>
    <n v="2726.42"/>
    <n v="2726.42"/>
    <n v="2324.5100000000002"/>
    <n v="401.91"/>
    <x v="0"/>
  </r>
  <r>
    <x v="314"/>
    <x v="160"/>
    <s v="Meera Kulkarni"/>
    <x v="3"/>
    <s v="Assam"/>
    <s v="Guwahati"/>
    <x v="3"/>
    <x v="15"/>
    <n v="1"/>
    <n v="909.52"/>
    <n v="909.52"/>
    <n v="784.72"/>
    <n v="124.8"/>
    <x v="5"/>
  </r>
  <r>
    <x v="315"/>
    <x v="140"/>
    <s v="Priya Singh"/>
    <x v="2"/>
    <s v="Kerala"/>
    <s v="Kochi"/>
    <x v="3"/>
    <x v="3"/>
    <n v="3"/>
    <n v="2982.56"/>
    <n v="8947.68"/>
    <n v="7107.21"/>
    <n v="1840.47"/>
    <x v="3"/>
  </r>
  <r>
    <x v="316"/>
    <x v="194"/>
    <s v="Sahil Khan"/>
    <x v="0"/>
    <s v="Punjab"/>
    <s v="Ludhiana"/>
    <x v="1"/>
    <x v="12"/>
    <n v="1"/>
    <n v="3272.45"/>
    <n v="3272.45"/>
    <n v="2270.38"/>
    <n v="1002.07"/>
    <x v="2"/>
  </r>
  <r>
    <x v="317"/>
    <x v="15"/>
    <s v="Pooja Mehta"/>
    <x v="3"/>
    <s v="West Bengal"/>
    <s v="Kolkata"/>
    <x v="0"/>
    <x v="20"/>
    <n v="3"/>
    <n v="2632.38"/>
    <n v="7897.14"/>
    <n v="6260.55"/>
    <n v="1636.59"/>
    <x v="1"/>
  </r>
  <r>
    <x v="318"/>
    <x v="134"/>
    <s v="Neha Gupta"/>
    <x v="2"/>
    <s v="Kerala"/>
    <s v="Kochi"/>
    <x v="2"/>
    <x v="4"/>
    <n v="2"/>
    <n v="3348.78"/>
    <n v="6697.56"/>
    <n v="5286.46"/>
    <n v="1411.1"/>
    <x v="5"/>
  </r>
  <r>
    <x v="319"/>
    <x v="218"/>
    <s v="Karan Malhotra"/>
    <x v="1"/>
    <s v="Maharashtra"/>
    <s v="Mumbai"/>
    <x v="1"/>
    <x v="5"/>
    <n v="6"/>
    <n v="2669.79"/>
    <n v="16018.74"/>
    <n v="13703.07"/>
    <n v="2315.67"/>
    <x v="0"/>
  </r>
  <r>
    <x v="320"/>
    <x v="26"/>
    <s v="Rohan Deshmukh"/>
    <x v="1"/>
    <s v="Goa"/>
    <s v="Panaji"/>
    <x v="1"/>
    <x v="12"/>
    <n v="2"/>
    <n v="2951.89"/>
    <n v="5903.78"/>
    <n v="5149.5"/>
    <n v="754.28"/>
    <x v="1"/>
  </r>
  <r>
    <x v="321"/>
    <x v="62"/>
    <s v="Rahul Verma"/>
    <x v="0"/>
    <s v="Delhi"/>
    <s v="New Delhi"/>
    <x v="3"/>
    <x v="16"/>
    <n v="4"/>
    <n v="1664.27"/>
    <n v="6657.08"/>
    <n v="5022.76"/>
    <n v="1634.32"/>
    <x v="3"/>
  </r>
  <r>
    <x v="322"/>
    <x v="127"/>
    <s v="Neha Gupta"/>
    <x v="2"/>
    <s v="Kerala"/>
    <s v="Kochi"/>
    <x v="1"/>
    <x v="12"/>
    <n v="1"/>
    <n v="2960.99"/>
    <n v="2960.99"/>
    <n v="2584.48"/>
    <n v="376.51"/>
    <x v="2"/>
  </r>
  <r>
    <x v="323"/>
    <x v="144"/>
    <s v="Aditya Kumar"/>
    <x v="3"/>
    <s v="Assam"/>
    <s v="Guwahati"/>
    <x v="0"/>
    <x v="22"/>
    <n v="3"/>
    <n v="4160.32"/>
    <n v="12480.96"/>
    <n v="9070.19"/>
    <n v="3410.77"/>
    <x v="5"/>
  </r>
  <r>
    <x v="324"/>
    <x v="51"/>
    <s v="Isha Nair"/>
    <x v="0"/>
    <s v="Punjab"/>
    <s v="Ludhiana"/>
    <x v="1"/>
    <x v="6"/>
    <n v="4"/>
    <n v="4332.63"/>
    <n v="17330.52"/>
    <n v="12203.24"/>
    <n v="5127.28"/>
    <x v="5"/>
  </r>
  <r>
    <x v="325"/>
    <x v="206"/>
    <s v="Simran Kaur"/>
    <x v="3"/>
    <s v="Assam"/>
    <s v="Guwahati"/>
    <x v="1"/>
    <x v="7"/>
    <n v="1"/>
    <n v="16767.419999999998"/>
    <n v="16767.419999999998"/>
    <n v="13702.52"/>
    <n v="3064.9"/>
    <x v="0"/>
  </r>
  <r>
    <x v="326"/>
    <x v="109"/>
    <s v="Pooja Mehta"/>
    <x v="3"/>
    <s v="Bihar"/>
    <s v="Patna"/>
    <x v="1"/>
    <x v="1"/>
    <n v="3"/>
    <n v="53858.69"/>
    <n v="161576.07"/>
    <n v="111453.58"/>
    <n v="50122.49"/>
    <x v="2"/>
  </r>
  <r>
    <x v="327"/>
    <x v="41"/>
    <s v="Priya Singh"/>
    <x v="0"/>
    <s v="Rajasthan"/>
    <s v="Jaipur"/>
    <x v="4"/>
    <x v="24"/>
    <n v="6"/>
    <n v="1818.04"/>
    <n v="10908.24"/>
    <n v="7624.26"/>
    <n v="3283.98"/>
    <x v="5"/>
  </r>
  <r>
    <x v="328"/>
    <x v="112"/>
    <s v="Rahul Verma"/>
    <x v="0"/>
    <s v="Delhi"/>
    <s v="New Delhi"/>
    <x v="4"/>
    <x v="14"/>
    <n v="2"/>
    <n v="845.66"/>
    <n v="1691.32"/>
    <n v="1285.5999999999999"/>
    <n v="405.72"/>
    <x v="3"/>
  </r>
  <r>
    <x v="329"/>
    <x v="219"/>
    <s v="Rohan Deshmukh"/>
    <x v="3"/>
    <s v="West Bengal"/>
    <s v="Kolkata"/>
    <x v="1"/>
    <x v="7"/>
    <n v="2"/>
    <n v="19448.990000000002"/>
    <n v="38897.980000000003"/>
    <n v="29900.34"/>
    <n v="8997.64"/>
    <x v="0"/>
  </r>
  <r>
    <x v="330"/>
    <x v="220"/>
    <s v="Arjun Rao"/>
    <x v="0"/>
    <s v="Delhi"/>
    <s v="New Delhi"/>
    <x v="3"/>
    <x v="17"/>
    <n v="2"/>
    <n v="2386.62"/>
    <n v="4773.24"/>
    <n v="3659.32"/>
    <n v="1113.92"/>
    <x v="4"/>
  </r>
  <r>
    <x v="331"/>
    <x v="185"/>
    <s v="Rohan Deshmukh"/>
    <x v="1"/>
    <s v="Rajasthan"/>
    <s v="Udaipur"/>
    <x v="1"/>
    <x v="1"/>
    <n v="2"/>
    <n v="52524.800000000003"/>
    <n v="105049.60000000001"/>
    <n v="80804.39"/>
    <n v="24245.21"/>
    <x v="0"/>
  </r>
  <r>
    <x v="332"/>
    <x v="221"/>
    <s v="Rohan Deshmukh"/>
    <x v="2"/>
    <s v="Telangana"/>
    <s v="Hyderabad"/>
    <x v="2"/>
    <x v="13"/>
    <n v="4"/>
    <n v="1277.07"/>
    <n v="5108.28"/>
    <n v="3759.47"/>
    <n v="1348.81"/>
    <x v="4"/>
  </r>
  <r>
    <x v="333"/>
    <x v="222"/>
    <s v="Nikhil Yadav"/>
    <x v="2"/>
    <s v="Karnataka"/>
    <s v="Bengaluru"/>
    <x v="3"/>
    <x v="3"/>
    <n v="4"/>
    <n v="2824.93"/>
    <n v="11299.72"/>
    <n v="8779.16"/>
    <n v="2520.56"/>
    <x v="3"/>
  </r>
  <r>
    <x v="334"/>
    <x v="140"/>
    <s v="Vikram Shah"/>
    <x v="1"/>
    <s v="Goa"/>
    <s v="Panaji"/>
    <x v="1"/>
    <x v="5"/>
    <n v="5"/>
    <n v="2359.5100000000002"/>
    <n v="11797.55"/>
    <n v="10135.9"/>
    <n v="1661.65"/>
    <x v="0"/>
  </r>
  <r>
    <x v="335"/>
    <x v="160"/>
    <s v="Ananya Patil"/>
    <x v="3"/>
    <s v="Bihar"/>
    <s v="Patna"/>
    <x v="3"/>
    <x v="17"/>
    <n v="2"/>
    <n v="2269.02"/>
    <n v="4538.04"/>
    <n v="3327.77"/>
    <n v="1210.27"/>
    <x v="5"/>
  </r>
  <r>
    <x v="336"/>
    <x v="172"/>
    <s v="Isha Nair"/>
    <x v="1"/>
    <s v="Goa"/>
    <s v="Panaji"/>
    <x v="3"/>
    <x v="15"/>
    <n v="2"/>
    <n v="852.58"/>
    <n v="1705.16"/>
    <n v="1267.96"/>
    <n v="437.2"/>
    <x v="3"/>
  </r>
  <r>
    <x v="337"/>
    <x v="37"/>
    <s v="Ananya Patil"/>
    <x v="3"/>
    <s v="Bihar"/>
    <s v="Patna"/>
    <x v="0"/>
    <x v="0"/>
    <n v="4"/>
    <n v="6554.76"/>
    <n v="26219.040000000001"/>
    <n v="18749.53"/>
    <n v="7469.51"/>
    <x v="0"/>
  </r>
  <r>
    <x v="338"/>
    <x v="223"/>
    <s v="Rohan Deshmukh"/>
    <x v="2"/>
    <s v="Tamil Nadu"/>
    <s v="Chennai"/>
    <x v="1"/>
    <x v="6"/>
    <n v="1"/>
    <n v="4348.5600000000004"/>
    <n v="4348.5600000000004"/>
    <n v="3491.14"/>
    <n v="857.42"/>
    <x v="2"/>
  </r>
  <r>
    <x v="339"/>
    <x v="224"/>
    <s v="Aman Jain"/>
    <x v="3"/>
    <s v="West Bengal"/>
    <s v="Kolkata"/>
    <x v="1"/>
    <x v="12"/>
    <n v="6"/>
    <n v="3250.33"/>
    <n v="19501.98"/>
    <n v="16281.68"/>
    <n v="3220.3"/>
    <x v="2"/>
  </r>
  <r>
    <x v="340"/>
    <x v="145"/>
    <s v="Meera Kulkarni"/>
    <x v="3"/>
    <s v="Assam"/>
    <s v="Guwahati"/>
    <x v="0"/>
    <x v="22"/>
    <n v="3"/>
    <n v="4050.99"/>
    <n v="12152.97"/>
    <n v="10635.94"/>
    <n v="1517.03"/>
    <x v="1"/>
  </r>
  <r>
    <x v="341"/>
    <x v="23"/>
    <s v="Isha Nair"/>
    <x v="3"/>
    <s v="Bihar"/>
    <s v="Patna"/>
    <x v="0"/>
    <x v="21"/>
    <n v="6"/>
    <n v="646.75"/>
    <n v="3880.5"/>
    <n v="3115.04"/>
    <n v="765.46"/>
    <x v="5"/>
  </r>
  <r>
    <x v="342"/>
    <x v="225"/>
    <s v="Nikhil Yadav"/>
    <x v="2"/>
    <s v="Kerala"/>
    <s v="Kochi"/>
    <x v="2"/>
    <x v="2"/>
    <n v="2"/>
    <n v="2338.85"/>
    <n v="4677.7"/>
    <n v="3182.52"/>
    <n v="1495.18"/>
    <x v="4"/>
  </r>
  <r>
    <x v="343"/>
    <x v="226"/>
    <s v="Riya Das"/>
    <x v="0"/>
    <s v="Punjab"/>
    <s v="Ludhiana"/>
    <x v="0"/>
    <x v="21"/>
    <n v="2"/>
    <n v="616.76"/>
    <n v="1233.52"/>
    <n v="864.48"/>
    <n v="369.04"/>
    <x v="5"/>
  </r>
  <r>
    <x v="344"/>
    <x v="220"/>
    <s v="Karan Malhotra"/>
    <x v="0"/>
    <s v="Punjab"/>
    <s v="Ludhiana"/>
    <x v="2"/>
    <x v="2"/>
    <n v="2"/>
    <n v="2568.09"/>
    <n v="5136.18"/>
    <n v="4481.91"/>
    <n v="654.27"/>
    <x v="4"/>
  </r>
  <r>
    <x v="345"/>
    <x v="11"/>
    <s v="Aarav Sharma"/>
    <x v="3"/>
    <s v="Bihar"/>
    <s v="Patna"/>
    <x v="1"/>
    <x v="7"/>
    <n v="3"/>
    <n v="17123.97"/>
    <n v="51371.91"/>
    <n v="36042.89"/>
    <n v="15329.02"/>
    <x v="0"/>
  </r>
  <r>
    <x v="346"/>
    <x v="227"/>
    <s v="Arjun Rao"/>
    <x v="1"/>
    <s v="Rajasthan"/>
    <s v="Udaipur"/>
    <x v="3"/>
    <x v="23"/>
    <n v="4"/>
    <n v="914.9"/>
    <n v="3659.6"/>
    <n v="2745.6"/>
    <n v="914"/>
    <x v="0"/>
  </r>
  <r>
    <x v="347"/>
    <x v="228"/>
    <s v="Priya Singh"/>
    <x v="2"/>
    <s v="Tamil Nadu"/>
    <s v="Chennai"/>
    <x v="2"/>
    <x v="11"/>
    <n v="3"/>
    <n v="632.80999999999995"/>
    <n v="1898.43"/>
    <n v="1390.08"/>
    <n v="508.35"/>
    <x v="0"/>
  </r>
  <r>
    <x v="348"/>
    <x v="158"/>
    <s v="Karan Malhotra"/>
    <x v="2"/>
    <s v="Kerala"/>
    <s v="Kochi"/>
    <x v="1"/>
    <x v="7"/>
    <n v="5"/>
    <n v="19590.599999999999"/>
    <n v="97953"/>
    <n v="85768.46"/>
    <n v="12184.54"/>
    <x v="3"/>
  </r>
  <r>
    <x v="349"/>
    <x v="221"/>
    <s v="Priya Singh"/>
    <x v="1"/>
    <s v="Maharashtra"/>
    <s v="Mumbai"/>
    <x v="2"/>
    <x v="8"/>
    <n v="5"/>
    <n v="1724.72"/>
    <n v="8623.6"/>
    <n v="6135.01"/>
    <n v="2488.59"/>
    <x v="2"/>
  </r>
  <r>
    <x v="350"/>
    <x v="170"/>
    <s v="Priya Singh"/>
    <x v="2"/>
    <s v="Kerala"/>
    <s v="Kochi"/>
    <x v="0"/>
    <x v="21"/>
    <n v="3"/>
    <n v="619.27"/>
    <n v="1857.81"/>
    <n v="1373.81"/>
    <n v="484"/>
    <x v="0"/>
  </r>
  <r>
    <x v="351"/>
    <x v="229"/>
    <s v="Simran Kaur"/>
    <x v="1"/>
    <s v="Gujarat"/>
    <s v="Ahmedabad"/>
    <x v="1"/>
    <x v="7"/>
    <n v="4"/>
    <n v="16515.46"/>
    <n v="66061.84"/>
    <n v="55807.69"/>
    <n v="10254.15"/>
    <x v="4"/>
  </r>
  <r>
    <x v="352"/>
    <x v="222"/>
    <s v="Arjun Rao"/>
    <x v="0"/>
    <s v="Delhi"/>
    <s v="New Delhi"/>
    <x v="1"/>
    <x v="5"/>
    <n v="1"/>
    <n v="2486.79"/>
    <n v="2486.79"/>
    <n v="1748.47"/>
    <n v="738.32"/>
    <x v="4"/>
  </r>
  <r>
    <x v="353"/>
    <x v="230"/>
    <s v="Sneha Joshi"/>
    <x v="3"/>
    <s v="West Bengal"/>
    <s v="Kolkata"/>
    <x v="0"/>
    <x v="9"/>
    <n v="2"/>
    <n v="1169.04"/>
    <n v="2338.08"/>
    <n v="1768.26"/>
    <n v="569.82000000000005"/>
    <x v="4"/>
  </r>
  <r>
    <x v="354"/>
    <x v="171"/>
    <s v="Priya Singh"/>
    <x v="3"/>
    <s v="Assam"/>
    <s v="Guwahati"/>
    <x v="2"/>
    <x v="8"/>
    <n v="3"/>
    <n v="1620.56"/>
    <n v="4861.68"/>
    <n v="3452.89"/>
    <n v="1408.79"/>
    <x v="0"/>
  </r>
  <r>
    <x v="355"/>
    <x v="231"/>
    <s v="Aman Jain"/>
    <x v="3"/>
    <s v="Assam"/>
    <s v="Guwahati"/>
    <x v="3"/>
    <x v="16"/>
    <n v="2"/>
    <n v="1617.15"/>
    <n v="3234.3"/>
    <n v="2743.2"/>
    <n v="491.1"/>
    <x v="4"/>
  </r>
  <r>
    <x v="356"/>
    <x v="96"/>
    <s v="Aman Jain"/>
    <x v="1"/>
    <s v="Gujarat"/>
    <s v="Ahmedabad"/>
    <x v="2"/>
    <x v="11"/>
    <n v="4"/>
    <n v="756.39"/>
    <n v="3025.56"/>
    <n v="2489.62"/>
    <n v="535.94000000000005"/>
    <x v="3"/>
  </r>
  <r>
    <x v="357"/>
    <x v="232"/>
    <s v="Aditya Kumar"/>
    <x v="2"/>
    <s v="Karnataka"/>
    <s v="Bengaluru"/>
    <x v="3"/>
    <x v="23"/>
    <n v="2"/>
    <n v="926.34"/>
    <n v="1852.68"/>
    <n v="1321.76"/>
    <n v="530.91999999999996"/>
    <x v="5"/>
  </r>
  <r>
    <x v="358"/>
    <x v="142"/>
    <s v="Simran Kaur"/>
    <x v="0"/>
    <s v="Rajasthan"/>
    <s v="Jaipur"/>
    <x v="1"/>
    <x v="6"/>
    <n v="2"/>
    <n v="4947.54"/>
    <n v="9895.08"/>
    <n v="7969.95"/>
    <n v="1925.13"/>
    <x v="2"/>
  </r>
  <r>
    <x v="359"/>
    <x v="233"/>
    <s v="Sahil Khan"/>
    <x v="0"/>
    <s v="Delhi"/>
    <s v="New Delhi"/>
    <x v="2"/>
    <x v="4"/>
    <n v="5"/>
    <n v="3088.72"/>
    <n v="15443.6"/>
    <n v="11354.75"/>
    <n v="4088.85"/>
    <x v="0"/>
  </r>
  <r>
    <x v="360"/>
    <x v="167"/>
    <s v="Priya Singh"/>
    <x v="1"/>
    <s v="Maharashtra"/>
    <s v="Mumbai"/>
    <x v="2"/>
    <x v="8"/>
    <n v="5"/>
    <n v="1628.14"/>
    <n v="8140.7"/>
    <n v="6770.42"/>
    <n v="1370.28"/>
    <x v="0"/>
  </r>
  <r>
    <x v="361"/>
    <x v="234"/>
    <s v="Nikhil Yadav"/>
    <x v="0"/>
    <s v="Haryana"/>
    <s v="Gurugram"/>
    <x v="4"/>
    <x v="10"/>
    <n v="4"/>
    <n v="619.34"/>
    <n v="2477.36"/>
    <n v="2009.03"/>
    <n v="468.33"/>
    <x v="3"/>
  </r>
  <r>
    <x v="362"/>
    <x v="18"/>
    <s v="Ananya Patil"/>
    <x v="0"/>
    <s v="Punjab"/>
    <s v="Ludhiana"/>
    <x v="1"/>
    <x v="1"/>
    <n v="5"/>
    <n v="56195.21"/>
    <n v="280976.05"/>
    <n v="230044.15"/>
    <n v="50931.9"/>
    <x v="4"/>
  </r>
  <r>
    <x v="363"/>
    <x v="220"/>
    <s v="Pooja Mehta"/>
    <x v="2"/>
    <s v="Karnataka"/>
    <s v="Bengaluru"/>
    <x v="0"/>
    <x v="22"/>
    <n v="3"/>
    <n v="3797"/>
    <n v="11391"/>
    <n v="9608.0499999999993"/>
    <n v="1782.95"/>
    <x v="2"/>
  </r>
  <r>
    <x v="364"/>
    <x v="62"/>
    <s v="Karan Malhotra"/>
    <x v="1"/>
    <s v="Maharashtra"/>
    <s v="Mumbai"/>
    <x v="3"/>
    <x v="15"/>
    <n v="2"/>
    <n v="864.09"/>
    <n v="1728.18"/>
    <n v="1432.22"/>
    <n v="295.95999999999998"/>
    <x v="2"/>
  </r>
  <r>
    <x v="365"/>
    <x v="161"/>
    <s v="Isha Nair"/>
    <x v="0"/>
    <s v="Punjab"/>
    <s v="Ludhiana"/>
    <x v="2"/>
    <x v="4"/>
    <n v="6"/>
    <n v="3190.05"/>
    <n v="19140.3"/>
    <n v="14992.6"/>
    <n v="4147.7"/>
    <x v="0"/>
  </r>
  <r>
    <x v="366"/>
    <x v="17"/>
    <s v="Nikhil Yadav"/>
    <x v="2"/>
    <s v="Karnataka"/>
    <s v="Bengaluru"/>
    <x v="2"/>
    <x v="13"/>
    <n v="4"/>
    <n v="1297.98"/>
    <n v="5191.92"/>
    <n v="4414.4799999999996"/>
    <n v="777.44"/>
    <x v="0"/>
  </r>
  <r>
    <x v="367"/>
    <x v="71"/>
    <s v="Aditya Kumar"/>
    <x v="2"/>
    <s v="Tamil Nadu"/>
    <s v="Chennai"/>
    <x v="4"/>
    <x v="14"/>
    <n v="1"/>
    <n v="892.16"/>
    <n v="892.16"/>
    <n v="770.47"/>
    <n v="121.69"/>
    <x v="2"/>
  </r>
  <r>
    <x v="368"/>
    <x v="147"/>
    <s v="Simran Kaur"/>
    <x v="1"/>
    <s v="Rajasthan"/>
    <s v="Udaipur"/>
    <x v="0"/>
    <x v="20"/>
    <n v="6"/>
    <n v="2537.12"/>
    <n v="15222.72"/>
    <n v="11485.44"/>
    <n v="3737.28"/>
    <x v="4"/>
  </r>
  <r>
    <x v="369"/>
    <x v="224"/>
    <s v="Aarav Sharma"/>
    <x v="1"/>
    <s v="Goa"/>
    <s v="Panaji"/>
    <x v="2"/>
    <x v="2"/>
    <n v="6"/>
    <n v="2665.44"/>
    <n v="15992.64"/>
    <n v="11164.12"/>
    <n v="4828.5200000000004"/>
    <x v="4"/>
  </r>
  <r>
    <x v="370"/>
    <x v="24"/>
    <s v="Aman Jain"/>
    <x v="2"/>
    <s v="Tamil Nadu"/>
    <s v="Chennai"/>
    <x v="4"/>
    <x v="14"/>
    <n v="6"/>
    <n v="847.21"/>
    <n v="5083.26"/>
    <n v="4119.05"/>
    <n v="964.21"/>
    <x v="0"/>
  </r>
  <r>
    <x v="371"/>
    <x v="168"/>
    <s v="Simran Kaur"/>
    <x v="0"/>
    <s v="Rajasthan"/>
    <s v="Jaipur"/>
    <x v="3"/>
    <x v="15"/>
    <n v="5"/>
    <n v="954.16"/>
    <n v="4770.8"/>
    <n v="3457.66"/>
    <n v="1313.14"/>
    <x v="2"/>
  </r>
  <r>
    <x v="372"/>
    <x v="205"/>
    <s v="Aman Jain"/>
    <x v="3"/>
    <s v="Assam"/>
    <s v="Guwahati"/>
    <x v="4"/>
    <x v="10"/>
    <n v="4"/>
    <n v="617.76"/>
    <n v="2471.04"/>
    <n v="1910.95"/>
    <n v="560.09"/>
    <x v="3"/>
  </r>
  <r>
    <x v="373"/>
    <x v="120"/>
    <s v="Pooja Mehta"/>
    <x v="0"/>
    <s v="Delhi"/>
    <s v="New Delhi"/>
    <x v="2"/>
    <x v="2"/>
    <n v="5"/>
    <n v="2573.67"/>
    <n v="12868.35"/>
    <n v="10317.969999999999"/>
    <n v="2550.38"/>
    <x v="1"/>
  </r>
  <r>
    <x v="374"/>
    <x v="235"/>
    <s v="Pooja Mehta"/>
    <x v="1"/>
    <s v="Maharashtra"/>
    <s v="Mumbai"/>
    <x v="2"/>
    <x v="2"/>
    <n v="6"/>
    <n v="2412.5700000000002"/>
    <n v="14475.42"/>
    <n v="10644.89"/>
    <n v="3830.53"/>
    <x v="5"/>
  </r>
  <r>
    <x v="375"/>
    <x v="236"/>
    <s v="Aarav Sharma"/>
    <x v="2"/>
    <s v="Karnataka"/>
    <s v="Bengaluru"/>
    <x v="4"/>
    <x v="24"/>
    <n v="4"/>
    <n v="1857.79"/>
    <n v="7431.16"/>
    <n v="6064.95"/>
    <n v="1366.21"/>
    <x v="1"/>
  </r>
  <r>
    <x v="376"/>
    <x v="119"/>
    <s v="Nikhil Yadav"/>
    <x v="3"/>
    <s v="Odisha"/>
    <s v="Bhubaneswar"/>
    <x v="3"/>
    <x v="23"/>
    <n v="4"/>
    <n v="890.24"/>
    <n v="3560.96"/>
    <n v="2836.68"/>
    <n v="724.28"/>
    <x v="5"/>
  </r>
  <r>
    <x v="377"/>
    <x v="158"/>
    <s v="Kavya Reddy"/>
    <x v="2"/>
    <s v="Kerala"/>
    <s v="Kochi"/>
    <x v="3"/>
    <x v="3"/>
    <n v="5"/>
    <n v="2688.11"/>
    <n v="13440.55"/>
    <n v="9596.52"/>
    <n v="3844.03"/>
    <x v="5"/>
  </r>
  <r>
    <x v="378"/>
    <x v="237"/>
    <s v="Sneha Joshi"/>
    <x v="0"/>
    <s v="Rajasthan"/>
    <s v="Jaipur"/>
    <x v="1"/>
    <x v="5"/>
    <n v="6"/>
    <n v="2654.17"/>
    <n v="15925.02"/>
    <n v="13258.91"/>
    <n v="2666.11"/>
    <x v="1"/>
  </r>
  <r>
    <x v="379"/>
    <x v="238"/>
    <s v="Vikram Shah"/>
    <x v="0"/>
    <s v="Punjab"/>
    <s v="Ludhiana"/>
    <x v="2"/>
    <x v="2"/>
    <n v="4"/>
    <n v="2644.05"/>
    <n v="10576.2"/>
    <n v="7892.63"/>
    <n v="2683.57"/>
    <x v="3"/>
  </r>
  <r>
    <x v="380"/>
    <x v="237"/>
    <s v="Aditya Kumar"/>
    <x v="1"/>
    <s v="Maharashtra"/>
    <s v="Mumbai"/>
    <x v="2"/>
    <x v="13"/>
    <n v="5"/>
    <n v="1524.4"/>
    <n v="7622"/>
    <n v="5291.52"/>
    <n v="2330.48"/>
    <x v="3"/>
  </r>
  <r>
    <x v="381"/>
    <x v="239"/>
    <s v="Nikhil Yadav"/>
    <x v="1"/>
    <s v="Goa"/>
    <s v="Panaji"/>
    <x v="2"/>
    <x v="8"/>
    <n v="2"/>
    <n v="1757.55"/>
    <n v="3515.1"/>
    <n v="2631.17"/>
    <n v="883.93"/>
    <x v="4"/>
  </r>
  <r>
    <x v="382"/>
    <x v="135"/>
    <s v="Ananya Patil"/>
    <x v="3"/>
    <s v="Bihar"/>
    <s v="Patna"/>
    <x v="4"/>
    <x v="19"/>
    <n v="3"/>
    <n v="564.41"/>
    <n v="1693.23"/>
    <n v="1211.28"/>
    <n v="481.95"/>
    <x v="0"/>
  </r>
  <r>
    <x v="383"/>
    <x v="206"/>
    <s v="Rahul Verma"/>
    <x v="3"/>
    <s v="Bihar"/>
    <s v="Patna"/>
    <x v="4"/>
    <x v="14"/>
    <n v="5"/>
    <n v="947.61"/>
    <n v="4738.05"/>
    <n v="3685.8"/>
    <n v="1052.25"/>
    <x v="5"/>
  </r>
  <r>
    <x v="384"/>
    <x v="221"/>
    <s v="Isha Nair"/>
    <x v="1"/>
    <s v="Rajasthan"/>
    <s v="Udaipur"/>
    <x v="2"/>
    <x v="4"/>
    <n v="4"/>
    <n v="2882.99"/>
    <n v="11531.96"/>
    <n v="9072.84"/>
    <n v="2459.12"/>
    <x v="0"/>
  </r>
  <r>
    <x v="385"/>
    <x v="140"/>
    <s v="Rohan Deshmukh"/>
    <x v="2"/>
    <s v="Karnataka"/>
    <s v="Bengaluru"/>
    <x v="0"/>
    <x v="0"/>
    <n v="2"/>
    <n v="6751.58"/>
    <n v="13503.16"/>
    <n v="10112.11"/>
    <n v="3391.05"/>
    <x v="0"/>
  </r>
  <r>
    <x v="386"/>
    <x v="153"/>
    <s v="Aman Jain"/>
    <x v="3"/>
    <s v="Bihar"/>
    <s v="Patna"/>
    <x v="1"/>
    <x v="7"/>
    <n v="3"/>
    <n v="19614.47"/>
    <n v="58843.41"/>
    <n v="45379.17"/>
    <n v="13464.24"/>
    <x v="3"/>
  </r>
  <r>
    <x v="387"/>
    <x v="156"/>
    <s v="Aditya Kumar"/>
    <x v="3"/>
    <s v="Assam"/>
    <s v="Guwahati"/>
    <x v="4"/>
    <x v="14"/>
    <n v="3"/>
    <n v="989.31"/>
    <n v="2967.93"/>
    <n v="2309.16"/>
    <n v="658.77"/>
    <x v="5"/>
  </r>
  <r>
    <x v="388"/>
    <x v="240"/>
    <s v="Sneha Joshi"/>
    <x v="0"/>
    <s v="Punjab"/>
    <s v="Ludhiana"/>
    <x v="1"/>
    <x v="1"/>
    <n v="2"/>
    <n v="57574.84"/>
    <n v="115149.68"/>
    <n v="91882.37"/>
    <n v="23267.31"/>
    <x v="0"/>
  </r>
  <r>
    <x v="389"/>
    <x v="241"/>
    <s v="Ananya Patil"/>
    <x v="0"/>
    <s v="Rajasthan"/>
    <s v="Jaipur"/>
    <x v="4"/>
    <x v="10"/>
    <n v="5"/>
    <n v="666.01"/>
    <n v="3330.05"/>
    <n v="2659.99"/>
    <n v="670.06"/>
    <x v="1"/>
  </r>
  <r>
    <x v="390"/>
    <x v="235"/>
    <s v="Riya Das"/>
    <x v="0"/>
    <s v="Delhi"/>
    <s v="New Delhi"/>
    <x v="0"/>
    <x v="9"/>
    <n v="4"/>
    <n v="1171.26"/>
    <n v="4685.04"/>
    <n v="3698.64"/>
    <n v="986.4"/>
    <x v="1"/>
  </r>
  <r>
    <x v="391"/>
    <x v="50"/>
    <s v="Rohan Deshmukh"/>
    <x v="2"/>
    <s v="Karnataka"/>
    <s v="Bengaluru"/>
    <x v="2"/>
    <x v="11"/>
    <n v="6"/>
    <n v="702.84"/>
    <n v="4217.04"/>
    <n v="3392.86"/>
    <n v="824.18"/>
    <x v="4"/>
  </r>
  <r>
    <x v="392"/>
    <x v="113"/>
    <s v="Vikram Shah"/>
    <x v="0"/>
    <s v="Haryana"/>
    <s v="Gurugram"/>
    <x v="1"/>
    <x v="7"/>
    <n v="4"/>
    <n v="16915.13"/>
    <n v="67660.52"/>
    <n v="48712.18"/>
    <n v="18948.34"/>
    <x v="3"/>
  </r>
  <r>
    <x v="393"/>
    <x v="166"/>
    <s v="Riya Das"/>
    <x v="3"/>
    <s v="Assam"/>
    <s v="Guwahati"/>
    <x v="1"/>
    <x v="7"/>
    <n v="5"/>
    <n v="17986.88"/>
    <n v="89934.399999999994"/>
    <n v="64891.16"/>
    <n v="25043.24"/>
    <x v="2"/>
  </r>
  <r>
    <x v="394"/>
    <x v="25"/>
    <s v="Rahul Verma"/>
    <x v="0"/>
    <s v="Delhi"/>
    <s v="New Delhi"/>
    <x v="0"/>
    <x v="20"/>
    <n v="5"/>
    <n v="2894.65"/>
    <n v="14473.25"/>
    <n v="10273.530000000001"/>
    <n v="4199.72"/>
    <x v="3"/>
  </r>
  <r>
    <x v="395"/>
    <x v="95"/>
    <s v="Sneha Joshi"/>
    <x v="0"/>
    <s v="Haryana"/>
    <s v="Gurugram"/>
    <x v="0"/>
    <x v="9"/>
    <n v="3"/>
    <n v="1143.3900000000001"/>
    <n v="3430.17"/>
    <n v="2366.87"/>
    <n v="1063.3"/>
    <x v="0"/>
  </r>
  <r>
    <x v="396"/>
    <x v="242"/>
    <s v="Aarav Sharma"/>
    <x v="3"/>
    <s v="Odisha"/>
    <s v="Bhubaneswar"/>
    <x v="2"/>
    <x v="11"/>
    <n v="1"/>
    <n v="749.17"/>
    <n v="749.17"/>
    <n v="642.83000000000004"/>
    <n v="106.34"/>
    <x v="5"/>
  </r>
  <r>
    <x v="397"/>
    <x v="64"/>
    <s v="Isha Nair"/>
    <x v="2"/>
    <s v="Telangana"/>
    <s v="Hyderabad"/>
    <x v="2"/>
    <x v="4"/>
    <n v="5"/>
    <n v="3051.72"/>
    <n v="15258.6"/>
    <n v="12612.97"/>
    <n v="2645.63"/>
    <x v="2"/>
  </r>
  <r>
    <x v="398"/>
    <x v="243"/>
    <s v="Riya Das"/>
    <x v="0"/>
    <s v="Rajasthan"/>
    <s v="Jaipur"/>
    <x v="2"/>
    <x v="4"/>
    <n v="3"/>
    <n v="3414.85"/>
    <n v="10244.549999999999"/>
    <n v="8379.84"/>
    <n v="1864.71"/>
    <x v="4"/>
  </r>
  <r>
    <x v="399"/>
    <x v="2"/>
    <s v="Riya Das"/>
    <x v="2"/>
    <s v="Karnataka"/>
    <s v="Bengaluru"/>
    <x v="1"/>
    <x v="7"/>
    <n v="2"/>
    <n v="16573.37"/>
    <n v="33146.74"/>
    <n v="28580.62"/>
    <n v="4566.12"/>
    <x v="3"/>
  </r>
  <r>
    <x v="400"/>
    <x v="143"/>
    <s v="Rohan Deshmukh"/>
    <x v="1"/>
    <s v="Gujarat"/>
    <s v="Ahmedabad"/>
    <x v="0"/>
    <x v="22"/>
    <n v="5"/>
    <n v="3804.21"/>
    <n v="19021.05"/>
    <n v="15538.16"/>
    <n v="3482.89"/>
    <x v="4"/>
  </r>
  <r>
    <x v="401"/>
    <x v="23"/>
    <s v="Aman Jain"/>
    <x v="0"/>
    <s v="Rajasthan"/>
    <s v="Jaipur"/>
    <x v="2"/>
    <x v="11"/>
    <n v="3"/>
    <n v="721.7"/>
    <n v="2165.1"/>
    <n v="1477.62"/>
    <n v="687.48"/>
    <x v="1"/>
  </r>
  <r>
    <x v="402"/>
    <x v="5"/>
    <s v="Riya Das"/>
    <x v="2"/>
    <s v="Telangana"/>
    <s v="Hyderabad"/>
    <x v="2"/>
    <x v="13"/>
    <n v="1"/>
    <n v="1381.2"/>
    <n v="1381.2"/>
    <n v="1139.95"/>
    <n v="241.25"/>
    <x v="2"/>
  </r>
  <r>
    <x v="403"/>
    <x v="64"/>
    <s v="Sneha Joshi"/>
    <x v="1"/>
    <s v="Gujarat"/>
    <s v="Ahmedabad"/>
    <x v="4"/>
    <x v="24"/>
    <n v="5"/>
    <n v="1639.64"/>
    <n v="8198.2000000000007"/>
    <n v="6629.72"/>
    <n v="1568.48"/>
    <x v="3"/>
  </r>
  <r>
    <x v="404"/>
    <x v="35"/>
    <s v="Ananya Patil"/>
    <x v="1"/>
    <s v="Gujarat"/>
    <s v="Ahmedabad"/>
    <x v="1"/>
    <x v="6"/>
    <n v="3"/>
    <n v="4266.8"/>
    <n v="12800.4"/>
    <n v="11187.92"/>
    <n v="1612.48"/>
    <x v="3"/>
  </r>
  <r>
    <x v="405"/>
    <x v="244"/>
    <s v="Rahul Verma"/>
    <x v="1"/>
    <s v="Rajasthan"/>
    <s v="Udaipur"/>
    <x v="4"/>
    <x v="18"/>
    <n v="4"/>
    <n v="444.98"/>
    <n v="1779.92"/>
    <n v="1414.34"/>
    <n v="365.58"/>
    <x v="4"/>
  </r>
  <r>
    <x v="406"/>
    <x v="83"/>
    <s v="Kavya Reddy"/>
    <x v="3"/>
    <s v="West Bengal"/>
    <s v="Kolkata"/>
    <x v="3"/>
    <x v="17"/>
    <n v="1"/>
    <n v="2157.5100000000002"/>
    <n v="2157.5100000000002"/>
    <n v="1482.57"/>
    <n v="674.94"/>
    <x v="0"/>
  </r>
  <r>
    <x v="407"/>
    <x v="101"/>
    <s v="Neha Gupta"/>
    <x v="3"/>
    <s v="Bihar"/>
    <s v="Patna"/>
    <x v="0"/>
    <x v="9"/>
    <n v="3"/>
    <n v="1167.2"/>
    <n v="3501.6"/>
    <n v="2419.1"/>
    <n v="1082.5"/>
    <x v="4"/>
  </r>
  <r>
    <x v="408"/>
    <x v="220"/>
    <s v="Karan Malhotra"/>
    <x v="1"/>
    <s v="Goa"/>
    <s v="Panaji"/>
    <x v="0"/>
    <x v="20"/>
    <n v="1"/>
    <n v="2945.22"/>
    <n v="2945.22"/>
    <n v="2133.37"/>
    <n v="811.85"/>
    <x v="2"/>
  </r>
  <r>
    <x v="409"/>
    <x v="245"/>
    <s v="Meera Kulkarni"/>
    <x v="3"/>
    <s v="Odisha"/>
    <s v="Bhubaneswar"/>
    <x v="0"/>
    <x v="20"/>
    <n v="2"/>
    <n v="2795.76"/>
    <n v="5591.52"/>
    <n v="4721.3"/>
    <n v="870.22"/>
    <x v="0"/>
  </r>
  <r>
    <x v="410"/>
    <x v="217"/>
    <s v="Karan Malhotra"/>
    <x v="2"/>
    <s v="Tamil Nadu"/>
    <s v="Chennai"/>
    <x v="1"/>
    <x v="6"/>
    <n v="2"/>
    <n v="4461.34"/>
    <n v="8922.68"/>
    <n v="7461.9"/>
    <n v="1460.78"/>
    <x v="0"/>
  </r>
  <r>
    <x v="411"/>
    <x v="82"/>
    <s v="Rohan Deshmukh"/>
    <x v="0"/>
    <s v="Delhi"/>
    <s v="New Delhi"/>
    <x v="4"/>
    <x v="19"/>
    <n v="4"/>
    <n v="567.42999999999995"/>
    <n v="2269.7199999999998"/>
    <n v="1977.47"/>
    <n v="292.25"/>
    <x v="4"/>
  </r>
  <r>
    <x v="412"/>
    <x v="246"/>
    <s v="Nikhil Yadav"/>
    <x v="0"/>
    <s v="Rajasthan"/>
    <s v="Jaipur"/>
    <x v="4"/>
    <x v="19"/>
    <n v="5"/>
    <n v="580.91999999999996"/>
    <n v="2904.6"/>
    <n v="2503.87"/>
    <n v="400.73"/>
    <x v="5"/>
  </r>
  <r>
    <x v="413"/>
    <x v="149"/>
    <s v="Simran Kaur"/>
    <x v="0"/>
    <s v="Rajasthan"/>
    <s v="Jaipur"/>
    <x v="0"/>
    <x v="21"/>
    <n v="3"/>
    <n v="600.49"/>
    <n v="1801.47"/>
    <n v="1363.59"/>
    <n v="437.88"/>
    <x v="1"/>
  </r>
  <r>
    <x v="414"/>
    <x v="247"/>
    <s v="Simran Kaur"/>
    <x v="3"/>
    <s v="Assam"/>
    <s v="Guwahati"/>
    <x v="3"/>
    <x v="3"/>
    <n v="4"/>
    <n v="2970.69"/>
    <n v="11882.76"/>
    <n v="8408.67"/>
    <n v="3474.09"/>
    <x v="1"/>
  </r>
  <r>
    <x v="415"/>
    <x v="248"/>
    <s v="Pooja Mehta"/>
    <x v="3"/>
    <s v="Odisha"/>
    <s v="Bhubaneswar"/>
    <x v="0"/>
    <x v="21"/>
    <n v="6"/>
    <n v="566.08000000000004"/>
    <n v="3396.48"/>
    <n v="2452.06"/>
    <n v="944.42"/>
    <x v="1"/>
  </r>
  <r>
    <x v="416"/>
    <x v="249"/>
    <s v="Riya Das"/>
    <x v="2"/>
    <s v="Tamil Nadu"/>
    <s v="Chennai"/>
    <x v="2"/>
    <x v="2"/>
    <n v="6"/>
    <n v="2307.6999999999998"/>
    <n v="13846.2"/>
    <n v="10390.85"/>
    <n v="3455.35"/>
    <x v="3"/>
  </r>
  <r>
    <x v="417"/>
    <x v="190"/>
    <s v="Rohan Deshmukh"/>
    <x v="1"/>
    <s v="Goa"/>
    <s v="Panaji"/>
    <x v="4"/>
    <x v="19"/>
    <n v="1"/>
    <n v="552.5"/>
    <n v="552.5"/>
    <n v="378.49"/>
    <n v="174.01"/>
    <x v="0"/>
  </r>
  <r>
    <x v="418"/>
    <x v="128"/>
    <s v="Ananya Patil"/>
    <x v="0"/>
    <s v="Punjab"/>
    <s v="Ludhiana"/>
    <x v="1"/>
    <x v="1"/>
    <n v="3"/>
    <n v="57017.29"/>
    <n v="171051.87"/>
    <n v="121324.64"/>
    <n v="49727.23"/>
    <x v="1"/>
  </r>
  <r>
    <x v="419"/>
    <x v="250"/>
    <s v="Kavya Reddy"/>
    <x v="2"/>
    <s v="Karnataka"/>
    <s v="Bengaluru"/>
    <x v="2"/>
    <x v="4"/>
    <n v="1"/>
    <n v="3274.31"/>
    <n v="3274.31"/>
    <n v="2668.91"/>
    <n v="605.4"/>
    <x v="5"/>
  </r>
  <r>
    <x v="420"/>
    <x v="251"/>
    <s v="Arjun Rao"/>
    <x v="1"/>
    <s v="Gujarat"/>
    <s v="Ahmedabad"/>
    <x v="2"/>
    <x v="2"/>
    <n v="6"/>
    <n v="2582.25"/>
    <n v="15493.5"/>
    <n v="13406.48"/>
    <n v="2087.02"/>
    <x v="4"/>
  </r>
  <r>
    <x v="421"/>
    <x v="7"/>
    <s v="Sahil Khan"/>
    <x v="3"/>
    <s v="West Bengal"/>
    <s v="Kolkata"/>
    <x v="1"/>
    <x v="5"/>
    <n v="2"/>
    <n v="2560.2800000000002"/>
    <n v="5120.5600000000004"/>
    <n v="4281.74"/>
    <n v="838.82"/>
    <x v="5"/>
  </r>
  <r>
    <x v="422"/>
    <x v="245"/>
    <s v="Rahul Verma"/>
    <x v="3"/>
    <s v="Bihar"/>
    <s v="Patna"/>
    <x v="4"/>
    <x v="14"/>
    <n v="3"/>
    <n v="890.79"/>
    <n v="2672.37"/>
    <n v="2342.84"/>
    <n v="329.53"/>
    <x v="5"/>
  </r>
  <r>
    <x v="423"/>
    <x v="71"/>
    <s v="Vikram Shah"/>
    <x v="0"/>
    <s v="Rajasthan"/>
    <s v="Jaipur"/>
    <x v="1"/>
    <x v="5"/>
    <n v="5"/>
    <n v="2382.12"/>
    <n v="11910.6"/>
    <n v="8482.56"/>
    <n v="3428.04"/>
    <x v="0"/>
  </r>
  <r>
    <x v="424"/>
    <x v="220"/>
    <s v="Simran Kaur"/>
    <x v="1"/>
    <s v="Gujarat"/>
    <s v="Ahmedabad"/>
    <x v="1"/>
    <x v="5"/>
    <n v="5"/>
    <n v="2275.4299999999998"/>
    <n v="11377.15"/>
    <n v="9858.0300000000007"/>
    <n v="1519.12"/>
    <x v="1"/>
  </r>
  <r>
    <x v="425"/>
    <x v="252"/>
    <s v="Rahul Verma"/>
    <x v="1"/>
    <s v="Goa"/>
    <s v="Panaji"/>
    <x v="1"/>
    <x v="5"/>
    <n v="5"/>
    <n v="2359.98"/>
    <n v="11799.9"/>
    <n v="8457.86"/>
    <n v="3342.04"/>
    <x v="3"/>
  </r>
  <r>
    <x v="426"/>
    <x v="253"/>
    <s v="Pooja Mehta"/>
    <x v="1"/>
    <s v="Rajasthan"/>
    <s v="Udaipur"/>
    <x v="1"/>
    <x v="1"/>
    <n v="2"/>
    <n v="56796.68"/>
    <n v="113593.36"/>
    <n v="84764.88"/>
    <n v="28828.48"/>
    <x v="5"/>
  </r>
  <r>
    <x v="427"/>
    <x v="117"/>
    <s v="Simran Kaur"/>
    <x v="1"/>
    <s v="Maharashtra"/>
    <s v="Mumbai"/>
    <x v="1"/>
    <x v="5"/>
    <n v="4"/>
    <n v="2370.17"/>
    <n v="9480.68"/>
    <n v="7664.68"/>
    <n v="1816"/>
    <x v="5"/>
  </r>
  <r>
    <x v="428"/>
    <x v="254"/>
    <s v="Aarav Sharma"/>
    <x v="3"/>
    <s v="Assam"/>
    <s v="Guwahati"/>
    <x v="3"/>
    <x v="17"/>
    <n v="4"/>
    <n v="2092.9"/>
    <n v="8371.6"/>
    <n v="6904.85"/>
    <n v="1466.75"/>
    <x v="3"/>
  </r>
  <r>
    <x v="429"/>
    <x v="88"/>
    <s v="Sneha Joshi"/>
    <x v="1"/>
    <s v="Rajasthan"/>
    <s v="Udaipur"/>
    <x v="1"/>
    <x v="1"/>
    <n v="3"/>
    <n v="55152.84"/>
    <n v="165458.51999999999"/>
    <n v="143889.74"/>
    <n v="21568.78"/>
    <x v="3"/>
  </r>
  <r>
    <x v="430"/>
    <x v="131"/>
    <s v="Kavya Reddy"/>
    <x v="0"/>
    <s v="Delhi"/>
    <s v="New Delhi"/>
    <x v="1"/>
    <x v="1"/>
    <n v="6"/>
    <n v="54166.3"/>
    <n v="324997.8"/>
    <n v="227753.7"/>
    <n v="97244.1"/>
    <x v="1"/>
  </r>
  <r>
    <x v="431"/>
    <x v="255"/>
    <s v="Vikram Shah"/>
    <x v="0"/>
    <s v="Punjab"/>
    <s v="Ludhiana"/>
    <x v="1"/>
    <x v="5"/>
    <n v="1"/>
    <n v="2293.7600000000002"/>
    <n v="2293.7600000000002"/>
    <n v="1584.65"/>
    <n v="709.11"/>
    <x v="3"/>
  </r>
  <r>
    <x v="432"/>
    <x v="211"/>
    <s v="Arjun Rao"/>
    <x v="2"/>
    <s v="Telangana"/>
    <s v="Hyderabad"/>
    <x v="2"/>
    <x v="4"/>
    <n v="6"/>
    <n v="3138.85"/>
    <n v="18833.099999999999"/>
    <n v="13998.28"/>
    <n v="4834.82"/>
    <x v="1"/>
  </r>
  <r>
    <x v="433"/>
    <x v="80"/>
    <s v="Aman Jain"/>
    <x v="0"/>
    <s v="Delhi"/>
    <s v="New Delhi"/>
    <x v="4"/>
    <x v="24"/>
    <n v="1"/>
    <n v="1872.32"/>
    <n v="1872.32"/>
    <n v="1300.3599999999999"/>
    <n v="571.96"/>
    <x v="0"/>
  </r>
  <r>
    <x v="434"/>
    <x v="242"/>
    <s v="Riya Das"/>
    <x v="3"/>
    <s v="West Bengal"/>
    <s v="Kolkata"/>
    <x v="1"/>
    <x v="6"/>
    <n v="4"/>
    <n v="4405.6000000000004"/>
    <n v="17622.400000000001"/>
    <n v="14311.94"/>
    <n v="3310.46"/>
    <x v="5"/>
  </r>
  <r>
    <x v="435"/>
    <x v="131"/>
    <s v="Isha Nair"/>
    <x v="2"/>
    <s v="Tamil Nadu"/>
    <s v="Chennai"/>
    <x v="0"/>
    <x v="21"/>
    <n v="3"/>
    <n v="655.22"/>
    <n v="1965.66"/>
    <n v="1393.29"/>
    <n v="572.37"/>
    <x v="0"/>
  </r>
  <r>
    <x v="436"/>
    <x v="102"/>
    <s v="Rahul Verma"/>
    <x v="2"/>
    <s v="Karnataka"/>
    <s v="Bengaluru"/>
    <x v="1"/>
    <x v="12"/>
    <n v="5"/>
    <n v="2936.45"/>
    <n v="14682.25"/>
    <n v="11591.71"/>
    <n v="3090.54"/>
    <x v="2"/>
  </r>
  <r>
    <x v="437"/>
    <x v="256"/>
    <s v="Vikram Shah"/>
    <x v="3"/>
    <s v="Bihar"/>
    <s v="Patna"/>
    <x v="2"/>
    <x v="13"/>
    <n v="2"/>
    <n v="1305.07"/>
    <n v="2610.14"/>
    <n v="1890.15"/>
    <n v="719.99"/>
    <x v="5"/>
  </r>
  <r>
    <x v="438"/>
    <x v="73"/>
    <s v="Rahul Verma"/>
    <x v="2"/>
    <s v="Karnataka"/>
    <s v="Bengaluru"/>
    <x v="4"/>
    <x v="24"/>
    <n v="4"/>
    <n v="1852.08"/>
    <n v="7408.32"/>
    <n v="5146.03"/>
    <n v="2262.29"/>
    <x v="2"/>
  </r>
  <r>
    <x v="439"/>
    <x v="100"/>
    <s v="Pooja Mehta"/>
    <x v="2"/>
    <s v="Kerala"/>
    <s v="Kochi"/>
    <x v="3"/>
    <x v="3"/>
    <n v="2"/>
    <n v="2895.93"/>
    <n v="5791.86"/>
    <n v="4210.1400000000003"/>
    <n v="1581.72"/>
    <x v="3"/>
  </r>
  <r>
    <x v="440"/>
    <x v="257"/>
    <s v="Rohan Deshmukh"/>
    <x v="2"/>
    <s v="Telangana"/>
    <s v="Hyderabad"/>
    <x v="2"/>
    <x v="2"/>
    <n v="5"/>
    <n v="2579.71"/>
    <n v="12898.55"/>
    <n v="10559.93"/>
    <n v="2338.62"/>
    <x v="3"/>
  </r>
  <r>
    <x v="441"/>
    <x v="226"/>
    <s v="Meera Kulkarni"/>
    <x v="3"/>
    <s v="Odisha"/>
    <s v="Bhubaneswar"/>
    <x v="3"/>
    <x v="15"/>
    <n v="1"/>
    <n v="866.38"/>
    <n v="866.38"/>
    <n v="725.27"/>
    <n v="141.11000000000001"/>
    <x v="2"/>
  </r>
  <r>
    <x v="442"/>
    <x v="136"/>
    <s v="Kavya Reddy"/>
    <x v="2"/>
    <s v="Telangana"/>
    <s v="Hyderabad"/>
    <x v="4"/>
    <x v="19"/>
    <n v="4"/>
    <n v="534.46"/>
    <n v="2137.84"/>
    <n v="1584.34"/>
    <n v="553.5"/>
    <x v="0"/>
  </r>
  <r>
    <x v="443"/>
    <x v="41"/>
    <s v="Rahul Verma"/>
    <x v="0"/>
    <s v="Haryana"/>
    <s v="Gurugram"/>
    <x v="4"/>
    <x v="14"/>
    <n v="5"/>
    <n v="845.36"/>
    <n v="4226.8"/>
    <n v="3494.33"/>
    <n v="732.47"/>
    <x v="1"/>
  </r>
  <r>
    <x v="444"/>
    <x v="95"/>
    <s v="Ananya Patil"/>
    <x v="0"/>
    <s v="Delhi"/>
    <s v="New Delhi"/>
    <x v="4"/>
    <x v="24"/>
    <n v="4"/>
    <n v="1896.91"/>
    <n v="7587.64"/>
    <n v="5482.47"/>
    <n v="2105.17"/>
    <x v="3"/>
  </r>
  <r>
    <x v="445"/>
    <x v="144"/>
    <s v="Sahil Khan"/>
    <x v="1"/>
    <s v="Gujarat"/>
    <s v="Ahmedabad"/>
    <x v="2"/>
    <x v="8"/>
    <n v="5"/>
    <n v="1674.63"/>
    <n v="8373.15"/>
    <n v="6181.06"/>
    <n v="2192.09"/>
    <x v="3"/>
  </r>
  <r>
    <x v="446"/>
    <x v="258"/>
    <s v="Simran Kaur"/>
    <x v="0"/>
    <s v="Rajasthan"/>
    <s v="Jaipur"/>
    <x v="2"/>
    <x v="11"/>
    <n v="6"/>
    <n v="663.44"/>
    <n v="3980.64"/>
    <n v="3474.3"/>
    <n v="506.34"/>
    <x v="1"/>
  </r>
  <r>
    <x v="447"/>
    <x v="22"/>
    <s v="Riya Das"/>
    <x v="2"/>
    <s v="Kerala"/>
    <s v="Kochi"/>
    <x v="1"/>
    <x v="12"/>
    <n v="5"/>
    <n v="3095.65"/>
    <n v="15478.25"/>
    <n v="13520.98"/>
    <n v="1957.27"/>
    <x v="2"/>
  </r>
  <r>
    <x v="448"/>
    <x v="254"/>
    <s v="Aman Jain"/>
    <x v="2"/>
    <s v="Kerala"/>
    <s v="Kochi"/>
    <x v="1"/>
    <x v="5"/>
    <n v="3"/>
    <n v="2367.0100000000002"/>
    <n v="7101.03"/>
    <n v="5778.23"/>
    <n v="1322.8"/>
    <x v="2"/>
  </r>
  <r>
    <x v="449"/>
    <x v="199"/>
    <s v="Aman Jain"/>
    <x v="1"/>
    <s v="Rajasthan"/>
    <s v="Udaipur"/>
    <x v="4"/>
    <x v="18"/>
    <n v="6"/>
    <n v="434.17"/>
    <n v="2605.02"/>
    <n v="2138.06"/>
    <n v="466.96"/>
    <x v="1"/>
  </r>
  <r>
    <x v="450"/>
    <x v="209"/>
    <s v="Rahul Verma"/>
    <x v="3"/>
    <s v="Bihar"/>
    <s v="Patna"/>
    <x v="2"/>
    <x v="4"/>
    <n v="3"/>
    <n v="3256.11"/>
    <n v="9768.33"/>
    <n v="8397.2999999999993"/>
    <n v="1371.03"/>
    <x v="3"/>
  </r>
  <r>
    <x v="451"/>
    <x v="92"/>
    <s v="Simran Kaur"/>
    <x v="1"/>
    <s v="Gujarat"/>
    <s v="Ahmedabad"/>
    <x v="2"/>
    <x v="2"/>
    <n v="3"/>
    <n v="2493.4299999999998"/>
    <n v="7480.29"/>
    <n v="5807.86"/>
    <n v="1672.43"/>
    <x v="0"/>
  </r>
  <r>
    <x v="452"/>
    <x v="94"/>
    <s v="Sneha Joshi"/>
    <x v="2"/>
    <s v="Kerala"/>
    <s v="Kochi"/>
    <x v="1"/>
    <x v="7"/>
    <n v="5"/>
    <n v="18516.52"/>
    <n v="92582.6"/>
    <n v="66872.73"/>
    <n v="25709.87"/>
    <x v="5"/>
  </r>
  <r>
    <x v="453"/>
    <x v="59"/>
    <s v="Riya Das"/>
    <x v="0"/>
    <s v="Punjab"/>
    <s v="Ludhiana"/>
    <x v="2"/>
    <x v="2"/>
    <n v="6"/>
    <n v="2306.67"/>
    <n v="13840.02"/>
    <n v="11280.25"/>
    <n v="2559.77"/>
    <x v="5"/>
  </r>
  <r>
    <x v="454"/>
    <x v="1"/>
    <s v="Aman Jain"/>
    <x v="2"/>
    <s v="Kerala"/>
    <s v="Kochi"/>
    <x v="1"/>
    <x v="7"/>
    <n v="2"/>
    <n v="18264.55"/>
    <n v="36529.1"/>
    <n v="26016.97"/>
    <n v="10512.13"/>
    <x v="0"/>
  </r>
  <r>
    <x v="455"/>
    <x v="114"/>
    <s v="Nikhil Yadav"/>
    <x v="2"/>
    <s v="Karnataka"/>
    <s v="Bengaluru"/>
    <x v="1"/>
    <x v="1"/>
    <n v="5"/>
    <n v="60040.62"/>
    <n v="300203.09999999998"/>
    <n v="240123.91"/>
    <n v="60079.19"/>
    <x v="1"/>
  </r>
  <r>
    <x v="456"/>
    <x v="259"/>
    <s v="Meera Kulkarni"/>
    <x v="3"/>
    <s v="West Bengal"/>
    <s v="Kolkata"/>
    <x v="1"/>
    <x v="12"/>
    <n v="4"/>
    <n v="3220.38"/>
    <n v="12881.52"/>
    <n v="9198.8700000000008"/>
    <n v="3682.65"/>
    <x v="3"/>
  </r>
  <r>
    <x v="457"/>
    <x v="135"/>
    <s v="Arjun Rao"/>
    <x v="2"/>
    <s v="Telangana"/>
    <s v="Hyderabad"/>
    <x v="1"/>
    <x v="5"/>
    <n v="4"/>
    <n v="2548.27"/>
    <n v="10193.08"/>
    <n v="7071.64"/>
    <n v="3121.44"/>
    <x v="4"/>
  </r>
  <r>
    <x v="458"/>
    <x v="93"/>
    <s v="Priya Singh"/>
    <x v="0"/>
    <s v="Delhi"/>
    <s v="New Delhi"/>
    <x v="1"/>
    <x v="12"/>
    <n v="6"/>
    <n v="2951.88"/>
    <n v="17711.28"/>
    <n v="12573.45"/>
    <n v="5137.83"/>
    <x v="5"/>
  </r>
  <r>
    <x v="459"/>
    <x v="48"/>
    <s v="Meera Kulkarni"/>
    <x v="0"/>
    <s v="Delhi"/>
    <s v="New Delhi"/>
    <x v="1"/>
    <x v="1"/>
    <n v="5"/>
    <n v="55432.15"/>
    <n v="277160.75"/>
    <n v="188535.84"/>
    <n v="88624.91"/>
    <x v="3"/>
  </r>
  <r>
    <x v="460"/>
    <x v="260"/>
    <s v="Arjun Rao"/>
    <x v="3"/>
    <s v="West Bengal"/>
    <s v="Kolkata"/>
    <x v="0"/>
    <x v="9"/>
    <n v="2"/>
    <n v="1305.22"/>
    <n v="2610.44"/>
    <n v="2026.81"/>
    <n v="583.63"/>
    <x v="2"/>
  </r>
  <r>
    <x v="461"/>
    <x v="16"/>
    <s v="Simran Kaur"/>
    <x v="0"/>
    <s v="Rajasthan"/>
    <s v="Jaipur"/>
    <x v="1"/>
    <x v="6"/>
    <n v="2"/>
    <n v="4869.08"/>
    <n v="9738.16"/>
    <n v="6785.19"/>
    <n v="2952.97"/>
    <x v="3"/>
  </r>
  <r>
    <x v="462"/>
    <x v="261"/>
    <s v="Arjun Rao"/>
    <x v="3"/>
    <s v="Bihar"/>
    <s v="Patna"/>
    <x v="1"/>
    <x v="7"/>
    <n v="5"/>
    <n v="18081.150000000001"/>
    <n v="90405.75"/>
    <n v="70873.8"/>
    <n v="19531.95"/>
    <x v="1"/>
  </r>
  <r>
    <x v="463"/>
    <x v="170"/>
    <s v="Kavya Reddy"/>
    <x v="3"/>
    <s v="Assam"/>
    <s v="Guwahati"/>
    <x v="2"/>
    <x v="8"/>
    <n v="4"/>
    <n v="1648.5"/>
    <n v="6594"/>
    <n v="4818.41"/>
    <n v="1775.59"/>
    <x v="4"/>
  </r>
  <r>
    <x v="464"/>
    <x v="91"/>
    <s v="Riya Das"/>
    <x v="3"/>
    <s v="Odisha"/>
    <s v="Bhubaneswar"/>
    <x v="3"/>
    <x v="23"/>
    <n v="2"/>
    <n v="835.25"/>
    <n v="1670.5"/>
    <n v="1397.8"/>
    <n v="272.7"/>
    <x v="5"/>
  </r>
  <r>
    <x v="465"/>
    <x v="152"/>
    <s v="Rohan Deshmukh"/>
    <x v="1"/>
    <s v="Goa"/>
    <s v="Panaji"/>
    <x v="3"/>
    <x v="16"/>
    <n v="3"/>
    <n v="1687.74"/>
    <n v="5063.22"/>
    <n v="3846.15"/>
    <n v="1217.07"/>
    <x v="1"/>
  </r>
  <r>
    <x v="466"/>
    <x v="80"/>
    <s v="Karan Malhotra"/>
    <x v="2"/>
    <s v="Kerala"/>
    <s v="Kochi"/>
    <x v="4"/>
    <x v="14"/>
    <n v="1"/>
    <n v="848.6"/>
    <n v="848.6"/>
    <n v="645.03"/>
    <n v="203.57"/>
    <x v="3"/>
  </r>
  <r>
    <x v="467"/>
    <x v="221"/>
    <s v="Simran Kaur"/>
    <x v="0"/>
    <s v="Punjab"/>
    <s v="Ludhiana"/>
    <x v="2"/>
    <x v="11"/>
    <n v="1"/>
    <n v="745.26"/>
    <n v="745.26"/>
    <n v="577.08000000000004"/>
    <n v="168.18"/>
    <x v="4"/>
  </r>
  <r>
    <x v="468"/>
    <x v="262"/>
    <s v="Arjun Rao"/>
    <x v="0"/>
    <s v="Haryana"/>
    <s v="Gurugram"/>
    <x v="1"/>
    <x v="7"/>
    <n v="5"/>
    <n v="16335.92"/>
    <n v="81679.600000000006"/>
    <n v="61820.45"/>
    <n v="19859.150000000001"/>
    <x v="3"/>
  </r>
  <r>
    <x v="469"/>
    <x v="42"/>
    <s v="Aman Jain"/>
    <x v="3"/>
    <s v="West Bengal"/>
    <s v="Kolkata"/>
    <x v="3"/>
    <x v="15"/>
    <n v="6"/>
    <n v="898.99"/>
    <n v="5393.94"/>
    <n v="3679.43"/>
    <n v="1714.51"/>
    <x v="2"/>
  </r>
  <r>
    <x v="470"/>
    <x v="263"/>
    <s v="Sneha Joshi"/>
    <x v="0"/>
    <s v="Punjab"/>
    <s v="Ludhiana"/>
    <x v="0"/>
    <x v="20"/>
    <n v="3"/>
    <n v="2653.98"/>
    <n v="7961.94"/>
    <n v="5414.58"/>
    <n v="2547.36"/>
    <x v="0"/>
  </r>
  <r>
    <x v="471"/>
    <x v="103"/>
    <s v="Rahul Verma"/>
    <x v="1"/>
    <s v="Goa"/>
    <s v="Panaji"/>
    <x v="0"/>
    <x v="9"/>
    <n v="5"/>
    <n v="1128.07"/>
    <n v="5640.35"/>
    <n v="3852.77"/>
    <n v="1787.58"/>
    <x v="0"/>
  </r>
  <r>
    <x v="472"/>
    <x v="264"/>
    <s v="Arjun Rao"/>
    <x v="3"/>
    <s v="Odisha"/>
    <s v="Bhubaneswar"/>
    <x v="2"/>
    <x v="2"/>
    <n v="2"/>
    <n v="2553.1799999999998"/>
    <n v="5106.3599999999997"/>
    <n v="3670.99"/>
    <n v="1435.37"/>
    <x v="3"/>
  </r>
  <r>
    <x v="473"/>
    <x v="246"/>
    <s v="Priya Singh"/>
    <x v="3"/>
    <s v="Bihar"/>
    <s v="Patna"/>
    <x v="2"/>
    <x v="11"/>
    <n v="5"/>
    <n v="640.13"/>
    <n v="3200.65"/>
    <n v="2364.8000000000002"/>
    <n v="835.85"/>
    <x v="3"/>
  </r>
  <r>
    <x v="474"/>
    <x v="265"/>
    <s v="Sahil Khan"/>
    <x v="3"/>
    <s v="Assam"/>
    <s v="Guwahati"/>
    <x v="3"/>
    <x v="16"/>
    <n v="4"/>
    <n v="1686.39"/>
    <n v="6745.56"/>
    <n v="5608.9"/>
    <n v="1136.6600000000001"/>
    <x v="1"/>
  </r>
  <r>
    <x v="475"/>
    <x v="266"/>
    <s v="Neha Gupta"/>
    <x v="0"/>
    <s v="Rajasthan"/>
    <s v="Jaipur"/>
    <x v="1"/>
    <x v="7"/>
    <n v="4"/>
    <n v="18481.18"/>
    <n v="73924.72"/>
    <n v="64967.97"/>
    <n v="8956.75"/>
    <x v="2"/>
  </r>
  <r>
    <x v="476"/>
    <x v="267"/>
    <s v="Karan Malhotra"/>
    <x v="3"/>
    <s v="West Bengal"/>
    <s v="Kolkata"/>
    <x v="0"/>
    <x v="22"/>
    <n v="2"/>
    <n v="4021.32"/>
    <n v="8042.64"/>
    <n v="6110.69"/>
    <n v="1931.95"/>
    <x v="0"/>
  </r>
  <r>
    <x v="477"/>
    <x v="102"/>
    <s v="Aditya Kumar"/>
    <x v="2"/>
    <s v="Kerala"/>
    <s v="Kochi"/>
    <x v="2"/>
    <x v="8"/>
    <n v="5"/>
    <n v="1526.1"/>
    <n v="7630.5"/>
    <n v="6634.14"/>
    <n v="996.36"/>
    <x v="4"/>
  </r>
  <r>
    <x v="478"/>
    <x v="222"/>
    <s v="Simran Kaur"/>
    <x v="2"/>
    <s v="Tamil Nadu"/>
    <s v="Chennai"/>
    <x v="4"/>
    <x v="14"/>
    <n v="2"/>
    <n v="846.5"/>
    <n v="1693"/>
    <n v="1235.79"/>
    <n v="457.21"/>
    <x v="2"/>
  </r>
  <r>
    <x v="479"/>
    <x v="268"/>
    <s v="Ananya Patil"/>
    <x v="0"/>
    <s v="Delhi"/>
    <s v="New Delhi"/>
    <x v="3"/>
    <x v="23"/>
    <n v="5"/>
    <n v="766.13"/>
    <n v="3830.65"/>
    <n v="3261.48"/>
    <n v="569.16999999999996"/>
    <x v="4"/>
  </r>
  <r>
    <x v="480"/>
    <x v="216"/>
    <s v="Aman Jain"/>
    <x v="3"/>
    <s v="Assam"/>
    <s v="Guwahati"/>
    <x v="4"/>
    <x v="24"/>
    <n v="3"/>
    <n v="1796.69"/>
    <n v="5390.07"/>
    <n v="4726.4399999999996"/>
    <n v="663.63"/>
    <x v="2"/>
  </r>
  <r>
    <x v="481"/>
    <x v="120"/>
    <s v="Isha Nair"/>
    <x v="2"/>
    <s v="Tamil Nadu"/>
    <s v="Chennai"/>
    <x v="1"/>
    <x v="6"/>
    <n v="4"/>
    <n v="4895.6899999999996"/>
    <n v="19582.759999999998"/>
    <n v="13443.81"/>
    <n v="6138.95"/>
    <x v="4"/>
  </r>
  <r>
    <x v="482"/>
    <x v="39"/>
    <s v="Aditya Kumar"/>
    <x v="2"/>
    <s v="Kerala"/>
    <s v="Kochi"/>
    <x v="3"/>
    <x v="16"/>
    <n v="4"/>
    <n v="1541.01"/>
    <n v="6164.04"/>
    <n v="4201.93"/>
    <n v="1962.11"/>
    <x v="4"/>
  </r>
  <r>
    <x v="483"/>
    <x v="207"/>
    <s v="Riya Das"/>
    <x v="0"/>
    <s v="Haryana"/>
    <s v="Gurugram"/>
    <x v="2"/>
    <x v="2"/>
    <n v="2"/>
    <n v="2524.2800000000002"/>
    <n v="5048.5600000000004"/>
    <n v="3672.46"/>
    <n v="1376.1"/>
    <x v="3"/>
  </r>
  <r>
    <x v="484"/>
    <x v="158"/>
    <s v="Arjun Rao"/>
    <x v="3"/>
    <s v="Bihar"/>
    <s v="Patna"/>
    <x v="2"/>
    <x v="8"/>
    <n v="4"/>
    <n v="1664.23"/>
    <n v="6656.92"/>
    <n v="5022.3900000000003"/>
    <n v="1634.53"/>
    <x v="2"/>
  </r>
  <r>
    <x v="485"/>
    <x v="203"/>
    <s v="Kavya Reddy"/>
    <x v="2"/>
    <s v="Tamil Nadu"/>
    <s v="Chennai"/>
    <x v="3"/>
    <x v="15"/>
    <n v="1"/>
    <n v="939.75"/>
    <n v="939.75"/>
    <n v="790.16"/>
    <n v="149.59"/>
    <x v="4"/>
  </r>
  <r>
    <x v="486"/>
    <x v="90"/>
    <s v="Riya Das"/>
    <x v="2"/>
    <s v="Tamil Nadu"/>
    <s v="Chennai"/>
    <x v="4"/>
    <x v="14"/>
    <n v="4"/>
    <n v="955.02"/>
    <n v="3820.08"/>
    <n v="2732.59"/>
    <n v="1087.49"/>
    <x v="5"/>
  </r>
  <r>
    <x v="487"/>
    <x v="269"/>
    <s v="Sneha Joshi"/>
    <x v="3"/>
    <s v="Assam"/>
    <s v="Guwahati"/>
    <x v="2"/>
    <x v="13"/>
    <n v="5"/>
    <n v="1273.3599999999999"/>
    <n v="6366.8"/>
    <n v="4455.45"/>
    <n v="1911.35"/>
    <x v="0"/>
  </r>
  <r>
    <x v="488"/>
    <x v="109"/>
    <s v="Isha Nair"/>
    <x v="3"/>
    <s v="Assam"/>
    <s v="Guwahati"/>
    <x v="4"/>
    <x v="18"/>
    <n v="4"/>
    <n v="472.01"/>
    <n v="1888.04"/>
    <n v="1381.96"/>
    <n v="506.08"/>
    <x v="3"/>
  </r>
  <r>
    <x v="489"/>
    <x v="173"/>
    <s v="Aditya Kumar"/>
    <x v="3"/>
    <s v="Odisha"/>
    <s v="Bhubaneswar"/>
    <x v="1"/>
    <x v="7"/>
    <n v="3"/>
    <n v="19322.53"/>
    <n v="57967.59"/>
    <n v="50583.87"/>
    <n v="7383.72"/>
    <x v="3"/>
  </r>
  <r>
    <x v="490"/>
    <x v="172"/>
    <s v="Rahul Verma"/>
    <x v="2"/>
    <s v="Telangana"/>
    <s v="Hyderabad"/>
    <x v="2"/>
    <x v="13"/>
    <n v="4"/>
    <n v="1476.93"/>
    <n v="5907.72"/>
    <n v="4545.32"/>
    <n v="1362.4"/>
    <x v="4"/>
  </r>
  <r>
    <x v="491"/>
    <x v="221"/>
    <s v="Meera Kulkarni"/>
    <x v="3"/>
    <s v="Assam"/>
    <s v="Guwahati"/>
    <x v="0"/>
    <x v="0"/>
    <n v="2"/>
    <n v="6682.75"/>
    <n v="13365.5"/>
    <n v="11570.69"/>
    <n v="1794.81"/>
    <x v="1"/>
  </r>
  <r>
    <x v="492"/>
    <x v="270"/>
    <s v="Vikram Shah"/>
    <x v="1"/>
    <s v="Maharashtra"/>
    <s v="Mumbai"/>
    <x v="1"/>
    <x v="5"/>
    <n v="2"/>
    <n v="2406.7399999999998"/>
    <n v="4813.4799999999996"/>
    <n v="3901.82"/>
    <n v="911.66"/>
    <x v="3"/>
  </r>
  <r>
    <x v="493"/>
    <x v="123"/>
    <s v="Meera Kulkarni"/>
    <x v="1"/>
    <s v="Goa"/>
    <s v="Panaji"/>
    <x v="4"/>
    <x v="10"/>
    <n v="6"/>
    <n v="661.3"/>
    <n v="3967.8"/>
    <n v="3464.31"/>
    <n v="503.49"/>
    <x v="5"/>
  </r>
  <r>
    <x v="494"/>
    <x v="66"/>
    <s v="Sneha Joshi"/>
    <x v="0"/>
    <s v="Punjab"/>
    <s v="Ludhiana"/>
    <x v="0"/>
    <x v="22"/>
    <n v="6"/>
    <n v="4368.59"/>
    <n v="26211.54"/>
    <n v="18243.57"/>
    <n v="7967.97"/>
    <x v="4"/>
  </r>
  <r>
    <x v="495"/>
    <x v="271"/>
    <s v="Aman Jain"/>
    <x v="0"/>
    <s v="Delhi"/>
    <s v="New Delhi"/>
    <x v="3"/>
    <x v="23"/>
    <n v="5"/>
    <n v="774.15"/>
    <n v="3870.75"/>
    <n v="3228.93"/>
    <n v="641.82000000000005"/>
    <x v="0"/>
  </r>
  <r>
    <x v="496"/>
    <x v="113"/>
    <s v="Sahil Khan"/>
    <x v="3"/>
    <s v="Bihar"/>
    <s v="Patna"/>
    <x v="1"/>
    <x v="6"/>
    <n v="3"/>
    <n v="4256.42"/>
    <n v="12769.26"/>
    <n v="10566.8"/>
    <n v="2202.46"/>
    <x v="1"/>
  </r>
  <r>
    <x v="497"/>
    <x v="142"/>
    <s v="Kavya Reddy"/>
    <x v="2"/>
    <s v="Tamil Nadu"/>
    <s v="Chennai"/>
    <x v="1"/>
    <x v="5"/>
    <n v="3"/>
    <n v="2682.12"/>
    <n v="8046.36"/>
    <n v="6223.37"/>
    <n v="1822.99"/>
    <x v="2"/>
  </r>
  <r>
    <x v="498"/>
    <x v="272"/>
    <s v="Nikhil Yadav"/>
    <x v="1"/>
    <s v="Gujarat"/>
    <s v="Ahmedabad"/>
    <x v="3"/>
    <x v="16"/>
    <n v="2"/>
    <n v="1629.07"/>
    <n v="3258.14"/>
    <n v="2513.0300000000002"/>
    <n v="745.11"/>
    <x v="4"/>
  </r>
  <r>
    <x v="499"/>
    <x v="156"/>
    <s v="Vikram Shah"/>
    <x v="3"/>
    <s v="Odisha"/>
    <s v="Bhubaneswar"/>
    <x v="2"/>
    <x v="8"/>
    <n v="1"/>
    <n v="1581.4"/>
    <n v="1581.4"/>
    <n v="1191.04"/>
    <n v="390.36"/>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85942-4AC9-4DDC-8341-9B92187852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7" firstHeaderRow="0" firstDataRow="1" firstDataCol="1"/>
  <pivotFields count="16">
    <pivotField showAll="0"/>
    <pivotField numFmtId="164" showAll="0">
      <items count="274">
        <item x="246"/>
        <item x="218"/>
        <item x="162"/>
        <item x="11"/>
        <item x="215"/>
        <item x="137"/>
        <item x="259"/>
        <item x="76"/>
        <item x="169"/>
        <item x="36"/>
        <item x="37"/>
        <item x="185"/>
        <item x="179"/>
        <item x="86"/>
        <item x="254"/>
        <item x="202"/>
        <item x="171"/>
        <item x="44"/>
        <item x="24"/>
        <item x="30"/>
        <item x="68"/>
        <item x="223"/>
        <item x="13"/>
        <item x="157"/>
        <item x="196"/>
        <item x="257"/>
        <item x="211"/>
        <item x="145"/>
        <item x="95"/>
        <item x="107"/>
        <item x="43"/>
        <item x="188"/>
        <item x="262"/>
        <item x="101"/>
        <item x="189"/>
        <item x="127"/>
        <item x="100"/>
        <item x="67"/>
        <item x="271"/>
        <item x="113"/>
        <item x="181"/>
        <item x="235"/>
        <item x="73"/>
        <item x="78"/>
        <item x="80"/>
        <item x="239"/>
        <item x="112"/>
        <item x="138"/>
        <item x="142"/>
        <item x="149"/>
        <item x="208"/>
        <item x="93"/>
        <item x="163"/>
        <item x="200"/>
        <item x="135"/>
        <item x="236"/>
        <item x="212"/>
        <item x="50"/>
        <item x="268"/>
        <item x="253"/>
        <item x="22"/>
        <item x="56"/>
        <item x="201"/>
        <item x="71"/>
        <item x="41"/>
        <item x="224"/>
        <item x="34"/>
        <item x="193"/>
        <item x="243"/>
        <item x="66"/>
        <item x="164"/>
        <item x="129"/>
        <item x="263"/>
        <item x="57"/>
        <item x="222"/>
        <item x="166"/>
        <item x="177"/>
        <item x="170"/>
        <item x="184"/>
        <item x="256"/>
        <item x="197"/>
        <item x="109"/>
        <item x="180"/>
        <item x="46"/>
        <item x="132"/>
        <item x="244"/>
        <item x="25"/>
        <item x="104"/>
        <item x="84"/>
        <item x="81"/>
        <item x="151"/>
        <item x="247"/>
        <item x="92"/>
        <item x="217"/>
        <item x="265"/>
        <item x="144"/>
        <item x="9"/>
        <item x="4"/>
        <item x="175"/>
        <item x="183"/>
        <item x="29"/>
        <item x="209"/>
        <item x="103"/>
        <item x="3"/>
        <item x="62"/>
        <item x="126"/>
        <item x="133"/>
        <item x="242"/>
        <item x="237"/>
        <item x="250"/>
        <item x="252"/>
        <item x="210"/>
        <item x="155"/>
        <item x="40"/>
        <item x="15"/>
        <item x="191"/>
        <item x="8"/>
        <item x="233"/>
        <item x="140"/>
        <item x="192"/>
        <item x="77"/>
        <item x="220"/>
        <item x="122"/>
        <item x="238"/>
        <item x="54"/>
        <item x="116"/>
        <item x="158"/>
        <item x="249"/>
        <item x="58"/>
        <item x="27"/>
        <item x="55"/>
        <item x="124"/>
        <item x="176"/>
        <item x="136"/>
        <item x="59"/>
        <item x="241"/>
        <item x="147"/>
        <item x="152"/>
        <item x="216"/>
        <item x="88"/>
        <item x="186"/>
        <item x="90"/>
        <item x="153"/>
        <item x="227"/>
        <item x="199"/>
        <item x="187"/>
        <item x="198"/>
        <item x="229"/>
        <item x="120"/>
        <item x="240"/>
        <item x="182"/>
        <item x="261"/>
        <item x="148"/>
        <item x="267"/>
        <item x="82"/>
        <item x="161"/>
        <item x="260"/>
        <item x="20"/>
        <item x="110"/>
        <item x="213"/>
        <item x="32"/>
        <item x="111"/>
        <item x="255"/>
        <item x="121"/>
        <item x="75"/>
        <item x="69"/>
        <item x="31"/>
        <item x="141"/>
        <item x="83"/>
        <item x="105"/>
        <item x="203"/>
        <item x="206"/>
        <item x="65"/>
        <item x="106"/>
        <item x="266"/>
        <item x="98"/>
        <item x="60"/>
        <item x="19"/>
        <item x="35"/>
        <item x="160"/>
        <item x="18"/>
        <item x="48"/>
        <item x="228"/>
        <item x="23"/>
        <item x="230"/>
        <item x="214"/>
        <item x="119"/>
        <item x="79"/>
        <item x="94"/>
        <item x="146"/>
        <item x="258"/>
        <item x="248"/>
        <item x="17"/>
        <item x="232"/>
        <item x="139"/>
        <item x="156"/>
        <item x="28"/>
        <item x="204"/>
        <item x="131"/>
        <item x="96"/>
        <item x="99"/>
        <item x="12"/>
        <item x="52"/>
        <item x="272"/>
        <item x="264"/>
        <item x="102"/>
        <item x="173"/>
        <item x="33"/>
        <item x="234"/>
        <item x="91"/>
        <item x="226"/>
        <item x="74"/>
        <item x="190"/>
        <item x="114"/>
        <item x="172"/>
        <item x="5"/>
        <item x="178"/>
        <item x="207"/>
        <item x="51"/>
        <item x="219"/>
        <item x="16"/>
        <item x="1"/>
        <item x="47"/>
        <item x="108"/>
        <item x="118"/>
        <item x="125"/>
        <item x="38"/>
        <item x="61"/>
        <item x="270"/>
        <item x="221"/>
        <item x="159"/>
        <item x="117"/>
        <item x="70"/>
        <item x="134"/>
        <item x="85"/>
        <item x="10"/>
        <item x="269"/>
        <item x="245"/>
        <item x="6"/>
        <item x="195"/>
        <item x="0"/>
        <item x="53"/>
        <item x="123"/>
        <item x="251"/>
        <item x="2"/>
        <item x="21"/>
        <item x="165"/>
        <item x="42"/>
        <item x="26"/>
        <item x="14"/>
        <item x="130"/>
        <item x="64"/>
        <item x="225"/>
        <item x="89"/>
        <item x="231"/>
        <item x="128"/>
        <item x="194"/>
        <item x="97"/>
        <item x="143"/>
        <item x="154"/>
        <item x="168"/>
        <item x="7"/>
        <item x="39"/>
        <item x="63"/>
        <item x="115"/>
        <item x="45"/>
        <item x="167"/>
        <item x="87"/>
        <item x="72"/>
        <item x="174"/>
        <item x="150"/>
        <item x="205"/>
        <item x="49"/>
        <item t="default"/>
      </items>
    </pivotField>
    <pivotField showAll="0"/>
    <pivotField showAll="0">
      <items count="5">
        <item x="3"/>
        <item x="0"/>
        <item x="2"/>
        <item x="1"/>
        <item t="default"/>
      </items>
    </pivotField>
    <pivotField showAll="0"/>
    <pivotField showAll="0"/>
    <pivotField axis="axisRow" showAll="0">
      <items count="6">
        <item x="4"/>
        <item x="2"/>
        <item x="1"/>
        <item x="0"/>
        <item x="3"/>
        <item t="default"/>
      </items>
    </pivotField>
    <pivotField showAll="0"/>
    <pivotField showAll="0"/>
    <pivotField numFmtId="165" showAll="0"/>
    <pivotField dataField="1" numFmtId="165" showAll="0"/>
    <pivotField numFmtId="165" showAll="0"/>
    <pivotField dataField="1" numFmtId="165" showAll="0"/>
    <pivotField showAll="0">
      <items count="7">
        <item x="4"/>
        <item x="5"/>
        <item x="2"/>
        <item x="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i>
    <i>
      <x v="1"/>
    </i>
    <i>
      <x v="2"/>
    </i>
    <i>
      <x v="3"/>
    </i>
    <i>
      <x v="4"/>
    </i>
    <i t="grand">
      <x/>
    </i>
  </rowItems>
  <colFields count="1">
    <field x="-2"/>
  </colFields>
  <colItems count="2">
    <i>
      <x/>
    </i>
    <i i="1">
      <x v="1"/>
    </i>
  </colItems>
  <dataFields count="2">
    <dataField name="Sum of Sales" fld="10" baseField="0" baseItem="0" numFmtId="165"/>
    <dataField name="Sum of Profit" fld="12" baseField="0" baseItem="0" numFmtId="16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67E89C-D492-49BC-AB6B-1B93070F0A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16">
    <pivotField showAll="0"/>
    <pivotField numFmtId="164" showAll="0">
      <items count="274">
        <item x="246"/>
        <item x="218"/>
        <item x="162"/>
        <item x="11"/>
        <item x="215"/>
        <item x="137"/>
        <item x="259"/>
        <item x="76"/>
        <item x="169"/>
        <item x="36"/>
        <item x="37"/>
        <item x="185"/>
        <item x="179"/>
        <item x="86"/>
        <item x="254"/>
        <item x="202"/>
        <item x="171"/>
        <item x="44"/>
        <item x="24"/>
        <item x="30"/>
        <item x="68"/>
        <item x="223"/>
        <item x="13"/>
        <item x="157"/>
        <item x="196"/>
        <item x="257"/>
        <item x="211"/>
        <item x="145"/>
        <item x="95"/>
        <item x="107"/>
        <item x="43"/>
        <item x="188"/>
        <item x="262"/>
        <item x="101"/>
        <item x="189"/>
        <item x="127"/>
        <item x="100"/>
        <item x="67"/>
        <item x="271"/>
        <item x="113"/>
        <item x="181"/>
        <item x="235"/>
        <item x="73"/>
        <item x="78"/>
        <item x="80"/>
        <item x="239"/>
        <item x="112"/>
        <item x="138"/>
        <item x="142"/>
        <item x="149"/>
        <item x="208"/>
        <item x="93"/>
        <item x="163"/>
        <item x="200"/>
        <item x="135"/>
        <item x="236"/>
        <item x="212"/>
        <item x="50"/>
        <item x="268"/>
        <item x="253"/>
        <item x="22"/>
        <item x="56"/>
        <item x="201"/>
        <item x="71"/>
        <item x="41"/>
        <item x="224"/>
        <item x="34"/>
        <item x="193"/>
        <item x="243"/>
        <item x="66"/>
        <item x="164"/>
        <item x="129"/>
        <item x="263"/>
        <item x="57"/>
        <item x="222"/>
        <item x="166"/>
        <item x="177"/>
        <item x="170"/>
        <item x="184"/>
        <item x="256"/>
        <item x="197"/>
        <item x="109"/>
        <item x="180"/>
        <item x="46"/>
        <item x="132"/>
        <item x="244"/>
        <item x="25"/>
        <item x="104"/>
        <item x="84"/>
        <item x="81"/>
        <item x="151"/>
        <item x="247"/>
        <item x="92"/>
        <item x="217"/>
        <item x="265"/>
        <item x="144"/>
        <item x="9"/>
        <item x="4"/>
        <item x="175"/>
        <item x="183"/>
        <item x="29"/>
        <item x="209"/>
        <item x="103"/>
        <item x="3"/>
        <item x="62"/>
        <item x="126"/>
        <item x="133"/>
        <item x="242"/>
        <item x="237"/>
        <item x="250"/>
        <item x="252"/>
        <item x="210"/>
        <item x="155"/>
        <item x="40"/>
        <item x="15"/>
        <item x="191"/>
        <item x="8"/>
        <item x="233"/>
        <item x="140"/>
        <item x="192"/>
        <item x="77"/>
        <item x="220"/>
        <item x="122"/>
        <item x="238"/>
        <item x="54"/>
        <item x="116"/>
        <item x="158"/>
        <item x="249"/>
        <item x="58"/>
        <item x="27"/>
        <item x="55"/>
        <item x="124"/>
        <item x="176"/>
        <item x="136"/>
        <item x="59"/>
        <item x="241"/>
        <item x="147"/>
        <item x="152"/>
        <item x="216"/>
        <item x="88"/>
        <item x="186"/>
        <item x="90"/>
        <item x="153"/>
        <item x="227"/>
        <item x="199"/>
        <item x="187"/>
        <item x="198"/>
        <item x="229"/>
        <item x="120"/>
        <item x="240"/>
        <item x="182"/>
        <item x="261"/>
        <item x="148"/>
        <item x="267"/>
        <item x="82"/>
        <item x="161"/>
        <item x="260"/>
        <item x="20"/>
        <item x="110"/>
        <item x="213"/>
        <item x="32"/>
        <item x="111"/>
        <item x="255"/>
        <item x="121"/>
        <item x="75"/>
        <item x="69"/>
        <item x="31"/>
        <item x="141"/>
        <item x="83"/>
        <item x="105"/>
        <item x="203"/>
        <item x="206"/>
        <item x="65"/>
        <item x="106"/>
        <item x="266"/>
        <item x="98"/>
        <item x="60"/>
        <item x="19"/>
        <item x="35"/>
        <item x="160"/>
        <item x="18"/>
        <item x="48"/>
        <item x="228"/>
        <item x="23"/>
        <item x="230"/>
        <item x="214"/>
        <item x="119"/>
        <item x="79"/>
        <item x="94"/>
        <item x="146"/>
        <item x="258"/>
        <item x="248"/>
        <item x="17"/>
        <item x="232"/>
        <item x="139"/>
        <item x="156"/>
        <item x="28"/>
        <item x="204"/>
        <item x="131"/>
        <item x="96"/>
        <item x="99"/>
        <item x="12"/>
        <item x="52"/>
        <item x="272"/>
        <item x="264"/>
        <item x="102"/>
        <item x="173"/>
        <item x="33"/>
        <item x="234"/>
        <item x="91"/>
        <item x="226"/>
        <item x="74"/>
        <item x="190"/>
        <item x="114"/>
        <item x="172"/>
        <item x="5"/>
        <item x="178"/>
        <item x="207"/>
        <item x="51"/>
        <item x="219"/>
        <item x="16"/>
        <item x="1"/>
        <item x="47"/>
        <item x="108"/>
        <item x="118"/>
        <item x="125"/>
        <item x="38"/>
        <item x="61"/>
        <item x="270"/>
        <item x="221"/>
        <item x="159"/>
        <item x="117"/>
        <item x="70"/>
        <item x="134"/>
        <item x="85"/>
        <item x="10"/>
        <item x="269"/>
        <item x="245"/>
        <item x="6"/>
        <item x="195"/>
        <item x="0"/>
        <item x="53"/>
        <item x="123"/>
        <item x="251"/>
        <item x="2"/>
        <item x="21"/>
        <item x="165"/>
        <item x="42"/>
        <item x="26"/>
        <item x="14"/>
        <item x="130"/>
        <item x="64"/>
        <item x="225"/>
        <item x="89"/>
        <item x="231"/>
        <item x="128"/>
        <item x="194"/>
        <item x="97"/>
        <item x="143"/>
        <item x="154"/>
        <item x="168"/>
        <item x="7"/>
        <item x="39"/>
        <item x="63"/>
        <item x="115"/>
        <item x="45"/>
        <item x="167"/>
        <item x="87"/>
        <item x="72"/>
        <item x="174"/>
        <item x="150"/>
        <item x="205"/>
        <item x="49"/>
        <item t="default"/>
      </items>
    </pivotField>
    <pivotField showAll="0"/>
    <pivotField axis="axisRow" showAll="0">
      <items count="5">
        <item x="3"/>
        <item x="0"/>
        <item x="2"/>
        <item x="1"/>
        <item t="default"/>
      </items>
    </pivotField>
    <pivotField showAll="0"/>
    <pivotField showAll="0"/>
    <pivotField showAll="0">
      <items count="6">
        <item x="4"/>
        <item x="2"/>
        <item x="1"/>
        <item x="0"/>
        <item x="3"/>
        <item t="default"/>
      </items>
    </pivotField>
    <pivotField showAll="0"/>
    <pivotField showAll="0"/>
    <pivotField numFmtId="165" showAll="0"/>
    <pivotField dataField="1" numFmtId="165" showAll="0"/>
    <pivotField numFmtId="165" showAll="0"/>
    <pivotField dataField="1" numFmtId="165" showAll="0"/>
    <pivotField showAll="0">
      <items count="7">
        <item x="4"/>
        <item x="5"/>
        <item x="2"/>
        <item x="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Fields count="1">
    <field x="-2"/>
  </colFields>
  <colItems count="2">
    <i>
      <x/>
    </i>
    <i i="1">
      <x v="1"/>
    </i>
  </colItems>
  <dataFields count="2">
    <dataField name="Sum of Sales" fld="10" baseField="0" baseItem="0" numFmtId="165"/>
    <dataField name="Sum of Profit" fld="12" baseField="0" baseItem="0" numFmtId="165"/>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D47717-4791-4E8A-B966-6F8E024105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4" firstHeaderRow="0" firstDataRow="1" firstDataCol="1"/>
  <pivotFields count="16">
    <pivotField showAll="0"/>
    <pivotField numFmtId="164" showAll="0">
      <items count="274">
        <item x="246"/>
        <item x="218"/>
        <item x="162"/>
        <item x="11"/>
        <item x="215"/>
        <item x="137"/>
        <item x="259"/>
        <item x="76"/>
        <item x="169"/>
        <item x="36"/>
        <item x="37"/>
        <item x="185"/>
        <item x="179"/>
        <item x="86"/>
        <item x="254"/>
        <item x="202"/>
        <item x="171"/>
        <item x="44"/>
        <item x="24"/>
        <item x="30"/>
        <item x="68"/>
        <item x="223"/>
        <item x="13"/>
        <item x="157"/>
        <item x="196"/>
        <item x="257"/>
        <item x="211"/>
        <item x="145"/>
        <item x="95"/>
        <item x="107"/>
        <item x="43"/>
        <item x="188"/>
        <item x="262"/>
        <item x="101"/>
        <item x="189"/>
        <item x="127"/>
        <item x="100"/>
        <item x="67"/>
        <item x="271"/>
        <item x="113"/>
        <item x="181"/>
        <item x="235"/>
        <item x="73"/>
        <item x="78"/>
        <item x="80"/>
        <item x="239"/>
        <item x="112"/>
        <item x="138"/>
        <item x="142"/>
        <item x="149"/>
        <item x="208"/>
        <item x="93"/>
        <item x="163"/>
        <item x="200"/>
        <item x="135"/>
        <item x="236"/>
        <item x="212"/>
        <item x="50"/>
        <item x="268"/>
        <item x="253"/>
        <item x="22"/>
        <item x="56"/>
        <item x="201"/>
        <item x="71"/>
        <item x="41"/>
        <item x="224"/>
        <item x="34"/>
        <item x="193"/>
        <item x="243"/>
        <item x="66"/>
        <item x="164"/>
        <item x="129"/>
        <item x="263"/>
        <item x="57"/>
        <item x="222"/>
        <item x="166"/>
        <item x="177"/>
        <item x="170"/>
        <item x="184"/>
        <item x="256"/>
        <item x="197"/>
        <item x="109"/>
        <item x="180"/>
        <item x="46"/>
        <item x="132"/>
        <item x="244"/>
        <item x="25"/>
        <item x="104"/>
        <item x="84"/>
        <item x="81"/>
        <item x="151"/>
        <item x="247"/>
        <item x="92"/>
        <item x="217"/>
        <item x="265"/>
        <item x="144"/>
        <item x="9"/>
        <item x="4"/>
        <item x="175"/>
        <item x="183"/>
        <item x="29"/>
        <item x="209"/>
        <item x="103"/>
        <item x="3"/>
        <item x="62"/>
        <item x="126"/>
        <item x="133"/>
        <item x="242"/>
        <item x="237"/>
        <item x="250"/>
        <item x="252"/>
        <item x="210"/>
        <item x="155"/>
        <item x="40"/>
        <item x="15"/>
        <item x="191"/>
        <item x="8"/>
        <item x="233"/>
        <item x="140"/>
        <item x="192"/>
        <item x="77"/>
        <item x="220"/>
        <item x="122"/>
        <item x="238"/>
        <item x="54"/>
        <item x="116"/>
        <item x="158"/>
        <item x="249"/>
        <item x="58"/>
        <item x="27"/>
        <item x="55"/>
        <item x="124"/>
        <item x="176"/>
        <item x="136"/>
        <item x="59"/>
        <item x="241"/>
        <item x="147"/>
        <item x="152"/>
        <item x="216"/>
        <item x="88"/>
        <item x="186"/>
        <item x="90"/>
        <item x="153"/>
        <item x="227"/>
        <item x="199"/>
        <item x="187"/>
        <item x="198"/>
        <item x="229"/>
        <item x="120"/>
        <item x="240"/>
        <item x="182"/>
        <item x="261"/>
        <item x="148"/>
        <item x="267"/>
        <item x="82"/>
        <item x="161"/>
        <item x="260"/>
        <item x="20"/>
        <item x="110"/>
        <item x="213"/>
        <item x="32"/>
        <item x="111"/>
        <item x="255"/>
        <item x="121"/>
        <item x="75"/>
        <item x="69"/>
        <item x="31"/>
        <item x="141"/>
        <item x="83"/>
        <item x="105"/>
        <item x="203"/>
        <item x="206"/>
        <item x="65"/>
        <item x="106"/>
        <item x="266"/>
        <item x="98"/>
        <item x="60"/>
        <item x="19"/>
        <item x="35"/>
        <item x="160"/>
        <item x="18"/>
        <item x="48"/>
        <item x="228"/>
        <item x="23"/>
        <item x="230"/>
        <item x="214"/>
        <item x="119"/>
        <item x="79"/>
        <item x="94"/>
        <item x="146"/>
        <item x="258"/>
        <item x="248"/>
        <item x="17"/>
        <item x="232"/>
        <item x="139"/>
        <item x="156"/>
        <item x="28"/>
        <item x="204"/>
        <item x="131"/>
        <item x="96"/>
        <item x="99"/>
        <item x="12"/>
        <item x="52"/>
        <item x="272"/>
        <item x="264"/>
        <item x="102"/>
        <item x="173"/>
        <item x="33"/>
        <item x="234"/>
        <item x="91"/>
        <item x="226"/>
        <item x="74"/>
        <item x="190"/>
        <item x="114"/>
        <item x="172"/>
        <item x="5"/>
        <item x="178"/>
        <item x="207"/>
        <item x="51"/>
        <item x="219"/>
        <item x="16"/>
        <item x="1"/>
        <item x="47"/>
        <item x="108"/>
        <item x="118"/>
        <item x="125"/>
        <item x="38"/>
        <item x="61"/>
        <item x="270"/>
        <item x="221"/>
        <item x="159"/>
        <item x="117"/>
        <item x="70"/>
        <item x="134"/>
        <item x="85"/>
        <item x="10"/>
        <item x="269"/>
        <item x="245"/>
        <item x="6"/>
        <item x="195"/>
        <item x="0"/>
        <item x="53"/>
        <item x="123"/>
        <item x="251"/>
        <item x="2"/>
        <item x="21"/>
        <item x="165"/>
        <item x="42"/>
        <item x="26"/>
        <item x="14"/>
        <item x="130"/>
        <item x="64"/>
        <item x="225"/>
        <item x="89"/>
        <item x="231"/>
        <item x="128"/>
        <item x="194"/>
        <item x="97"/>
        <item x="143"/>
        <item x="154"/>
        <item x="168"/>
        <item x="7"/>
        <item x="39"/>
        <item x="63"/>
        <item x="115"/>
        <item x="45"/>
        <item x="167"/>
        <item x="87"/>
        <item x="72"/>
        <item x="174"/>
        <item x="150"/>
        <item x="205"/>
        <item x="49"/>
        <item t="default"/>
      </items>
    </pivotField>
    <pivotField showAll="0"/>
    <pivotField showAll="0">
      <items count="5">
        <item x="3"/>
        <item x="0"/>
        <item x="2"/>
        <item x="1"/>
        <item t="default"/>
      </items>
    </pivotField>
    <pivotField showAll="0"/>
    <pivotField showAll="0"/>
    <pivotField showAll="0">
      <items count="6">
        <item x="4"/>
        <item x="2"/>
        <item x="1"/>
        <item x="0"/>
        <item x="3"/>
        <item t="default"/>
      </items>
    </pivotField>
    <pivotField axis="axisRow" showAll="0" measureFilter="1" sortType="descending">
      <items count="26">
        <item x="0"/>
        <item x="13"/>
        <item x="16"/>
        <item x="9"/>
        <item x="12"/>
        <item x="19"/>
        <item x="22"/>
        <item x="17"/>
        <item x="18"/>
        <item x="15"/>
        <item x="4"/>
        <item x="8"/>
        <item x="1"/>
        <item x="10"/>
        <item x="20"/>
        <item x="24"/>
        <item x="3"/>
        <item x="14"/>
        <item x="2"/>
        <item x="6"/>
        <item x="7"/>
        <item x="11"/>
        <item x="21"/>
        <item x="5"/>
        <item x="23"/>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numFmtId="165" showAll="0"/>
    <pivotField dataField="1" numFmtId="165" showAll="0"/>
    <pivotField showAll="0">
      <items count="7">
        <item x="4"/>
        <item x="5"/>
        <item x="2"/>
        <item x="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v="12"/>
    </i>
    <i>
      <x v="20"/>
    </i>
    <i>
      <x v="19"/>
    </i>
    <i>
      <x v="18"/>
    </i>
    <i>
      <x v="23"/>
    </i>
    <i>
      <x v="4"/>
    </i>
    <i>
      <x v="10"/>
    </i>
    <i>
      <x/>
    </i>
    <i>
      <x v="16"/>
    </i>
    <i>
      <x v="6"/>
    </i>
    <i t="grand">
      <x/>
    </i>
  </rowItems>
  <colFields count="1">
    <field x="-2"/>
  </colFields>
  <colItems count="2">
    <i>
      <x/>
    </i>
    <i i="1">
      <x v="1"/>
    </i>
  </colItems>
  <dataFields count="2">
    <dataField name="Sum of Sales" fld="10" baseField="0" baseItem="0" numFmtId="165"/>
    <dataField name="Sum of Profit" fld="12" baseField="0" baseItem="0" numFmtId="16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6E03B9-BE0E-481E-9E53-F1BDC53A91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0" firstHeaderRow="0" firstDataRow="1" firstDataCol="1"/>
  <pivotFields count="1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274">
        <item x="246"/>
        <item x="218"/>
        <item x="162"/>
        <item x="11"/>
        <item x="215"/>
        <item x="137"/>
        <item x="259"/>
        <item x="76"/>
        <item x="169"/>
        <item x="36"/>
        <item x="37"/>
        <item x="185"/>
        <item x="179"/>
        <item x="86"/>
        <item x="254"/>
        <item x="202"/>
        <item x="171"/>
        <item x="44"/>
        <item x="24"/>
        <item x="30"/>
        <item x="68"/>
        <item x="223"/>
        <item x="13"/>
        <item x="157"/>
        <item x="196"/>
        <item x="257"/>
        <item x="211"/>
        <item x="145"/>
        <item x="95"/>
        <item x="107"/>
        <item x="43"/>
        <item x="188"/>
        <item x="262"/>
        <item x="101"/>
        <item x="189"/>
        <item x="127"/>
        <item x="100"/>
        <item x="67"/>
        <item x="271"/>
        <item x="113"/>
        <item x="181"/>
        <item x="235"/>
        <item x="73"/>
        <item x="78"/>
        <item x="80"/>
        <item x="239"/>
        <item x="112"/>
        <item x="138"/>
        <item x="142"/>
        <item x="149"/>
        <item x="208"/>
        <item x="93"/>
        <item x="163"/>
        <item x="200"/>
        <item x="135"/>
        <item x="236"/>
        <item x="212"/>
        <item x="50"/>
        <item x="268"/>
        <item x="253"/>
        <item x="22"/>
        <item x="56"/>
        <item x="201"/>
        <item x="71"/>
        <item x="41"/>
        <item x="224"/>
        <item x="34"/>
        <item x="193"/>
        <item x="243"/>
        <item x="66"/>
        <item x="164"/>
        <item x="129"/>
        <item x="263"/>
        <item x="57"/>
        <item x="222"/>
        <item x="166"/>
        <item x="177"/>
        <item x="170"/>
        <item x="184"/>
        <item x="256"/>
        <item x="197"/>
        <item x="109"/>
        <item x="180"/>
        <item x="46"/>
        <item x="132"/>
        <item x="244"/>
        <item x="25"/>
        <item x="104"/>
        <item x="84"/>
        <item x="81"/>
        <item x="151"/>
        <item x="247"/>
        <item x="92"/>
        <item x="217"/>
        <item x="265"/>
        <item x="144"/>
        <item x="9"/>
        <item x="4"/>
        <item x="175"/>
        <item x="183"/>
        <item x="29"/>
        <item x="209"/>
        <item x="103"/>
        <item x="3"/>
        <item x="62"/>
        <item x="126"/>
        <item x="133"/>
        <item x="242"/>
        <item x="237"/>
        <item x="250"/>
        <item x="252"/>
        <item x="210"/>
        <item x="155"/>
        <item x="40"/>
        <item x="15"/>
        <item x="191"/>
        <item x="8"/>
        <item x="233"/>
        <item x="140"/>
        <item x="192"/>
        <item x="77"/>
        <item x="220"/>
        <item x="122"/>
        <item x="238"/>
        <item x="54"/>
        <item x="116"/>
        <item x="158"/>
        <item x="249"/>
        <item x="58"/>
        <item x="27"/>
        <item x="55"/>
        <item x="124"/>
        <item x="176"/>
        <item x="136"/>
        <item x="59"/>
        <item x="241"/>
        <item x="147"/>
        <item x="152"/>
        <item x="216"/>
        <item x="88"/>
        <item x="186"/>
        <item x="90"/>
        <item x="153"/>
        <item x="227"/>
        <item x="199"/>
        <item x="187"/>
        <item x="198"/>
        <item x="229"/>
        <item x="120"/>
        <item x="240"/>
        <item x="182"/>
        <item x="261"/>
        <item x="148"/>
        <item x="267"/>
        <item x="82"/>
        <item x="161"/>
        <item x="260"/>
        <item x="20"/>
        <item x="110"/>
        <item x="213"/>
        <item x="32"/>
        <item x="111"/>
        <item x="255"/>
        <item x="121"/>
        <item x="75"/>
        <item x="69"/>
        <item x="31"/>
        <item x="141"/>
        <item x="83"/>
        <item x="105"/>
        <item x="203"/>
        <item x="206"/>
        <item x="65"/>
        <item x="106"/>
        <item x="266"/>
        <item x="98"/>
        <item x="60"/>
        <item x="19"/>
        <item x="35"/>
        <item x="160"/>
        <item x="18"/>
        <item x="48"/>
        <item x="228"/>
        <item x="23"/>
        <item x="230"/>
        <item x="214"/>
        <item x="119"/>
        <item x="79"/>
        <item x="94"/>
        <item x="146"/>
        <item x="258"/>
        <item x="248"/>
        <item x="17"/>
        <item x="232"/>
        <item x="139"/>
        <item x="156"/>
        <item x="28"/>
        <item x="204"/>
        <item x="131"/>
        <item x="96"/>
        <item x="99"/>
        <item x="12"/>
        <item x="52"/>
        <item x="272"/>
        <item x="264"/>
        <item x="102"/>
        <item x="173"/>
        <item x="33"/>
        <item x="234"/>
        <item x="91"/>
        <item x="226"/>
        <item x="74"/>
        <item x="190"/>
        <item x="114"/>
        <item x="172"/>
        <item x="5"/>
        <item x="178"/>
        <item x="207"/>
        <item x="51"/>
        <item x="219"/>
        <item x="16"/>
        <item x="1"/>
        <item x="47"/>
        <item x="108"/>
        <item x="118"/>
        <item x="125"/>
        <item x="38"/>
        <item x="61"/>
        <item x="270"/>
        <item x="221"/>
        <item x="159"/>
        <item x="117"/>
        <item x="70"/>
        <item x="134"/>
        <item x="85"/>
        <item x="10"/>
        <item x="269"/>
        <item x="245"/>
        <item x="6"/>
        <item x="195"/>
        <item x="0"/>
        <item x="53"/>
        <item x="123"/>
        <item x="251"/>
        <item x="2"/>
        <item x="21"/>
        <item x="165"/>
        <item x="42"/>
        <item x="26"/>
        <item x="14"/>
        <item x="130"/>
        <item x="64"/>
        <item x="225"/>
        <item x="89"/>
        <item x="231"/>
        <item x="128"/>
        <item x="194"/>
        <item x="97"/>
        <item x="143"/>
        <item x="154"/>
        <item x="168"/>
        <item x="7"/>
        <item x="39"/>
        <item x="63"/>
        <item x="115"/>
        <item x="45"/>
        <item x="167"/>
        <item x="87"/>
        <item x="72"/>
        <item x="174"/>
        <item x="150"/>
        <item x="205"/>
        <item x="49"/>
        <item t="default"/>
      </items>
    </pivotField>
    <pivotField showAll="0"/>
    <pivotField showAll="0">
      <items count="5">
        <item x="3"/>
        <item x="0"/>
        <item x="2"/>
        <item x="1"/>
        <item t="default"/>
      </items>
    </pivotField>
    <pivotField showAll="0"/>
    <pivotField showAll="0"/>
    <pivotField showAll="0">
      <items count="6">
        <item x="4"/>
        <item x="2"/>
        <item x="1"/>
        <item x="0"/>
        <item x="3"/>
        <item t="default"/>
      </items>
    </pivotField>
    <pivotField showAll="0"/>
    <pivotField showAll="0"/>
    <pivotField numFmtId="165" showAll="0"/>
    <pivotField dataField="1" numFmtId="165" showAll="0"/>
    <pivotField numFmtId="165" showAll="0"/>
    <pivotField numFmtId="165" showAll="0"/>
    <pivotField axis="axisRow" showAll="0">
      <items count="7">
        <item x="4"/>
        <item x="5"/>
        <item x="2"/>
        <item x="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7">
    <i>
      <x/>
    </i>
    <i>
      <x v="1"/>
    </i>
    <i>
      <x v="2"/>
    </i>
    <i>
      <x v="3"/>
    </i>
    <i>
      <x v="4"/>
    </i>
    <i>
      <x v="5"/>
    </i>
    <i t="grand">
      <x/>
    </i>
  </rowItems>
  <colFields count="1">
    <field x="-2"/>
  </colFields>
  <colItems count="2">
    <i>
      <x/>
    </i>
    <i i="1">
      <x v="1"/>
    </i>
  </colItems>
  <dataFields count="2">
    <dataField name="Sum of Sales" fld="10" baseField="0" baseItem="0" numFmtId="165"/>
    <dataField name="Count of Order ID" fld="0" subtotal="count" baseField="0" baseItem="0"/>
  </dataFields>
  <chartFormats count="14">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3" count="1" selected="0">
            <x v="0"/>
          </reference>
        </references>
      </pivotArea>
    </chartFormat>
    <chartFormat chart="8" format="18">
      <pivotArea type="data" outline="0" fieldPosition="0">
        <references count="2">
          <reference field="4294967294" count="1" selected="0">
            <x v="0"/>
          </reference>
          <reference field="13" count="1" selected="0">
            <x v="1"/>
          </reference>
        </references>
      </pivotArea>
    </chartFormat>
    <chartFormat chart="8" format="19">
      <pivotArea type="data" outline="0" fieldPosition="0">
        <references count="2">
          <reference field="4294967294" count="1" selected="0">
            <x v="0"/>
          </reference>
          <reference field="13" count="1" selected="0">
            <x v="2"/>
          </reference>
        </references>
      </pivotArea>
    </chartFormat>
    <chartFormat chart="8" format="20">
      <pivotArea type="data" outline="0" fieldPosition="0">
        <references count="2">
          <reference field="4294967294" count="1" selected="0">
            <x v="0"/>
          </reference>
          <reference field="13" count="1" selected="0">
            <x v="3"/>
          </reference>
        </references>
      </pivotArea>
    </chartFormat>
    <chartFormat chart="8" format="21">
      <pivotArea type="data" outline="0" fieldPosition="0">
        <references count="2">
          <reference field="4294967294" count="1" selected="0">
            <x v="0"/>
          </reference>
          <reference field="13" count="1" selected="0">
            <x v="4"/>
          </reference>
        </references>
      </pivotArea>
    </chartFormat>
    <chartFormat chart="8" format="22">
      <pivotArea type="data" outline="0" fieldPosition="0">
        <references count="2">
          <reference field="4294967294" count="1" selected="0">
            <x v="0"/>
          </reference>
          <reference field="13" count="1" selected="0">
            <x v="5"/>
          </reference>
        </references>
      </pivotArea>
    </chartFormat>
    <chartFormat chart="8" format="23" series="1">
      <pivotArea type="data" outline="0" fieldPosition="0">
        <references count="1">
          <reference field="4294967294" count="1" selected="0">
            <x v="1"/>
          </reference>
        </references>
      </pivotArea>
    </chartFormat>
    <chartFormat chart="8" format="24">
      <pivotArea type="data" outline="0" fieldPosition="0">
        <references count="2">
          <reference field="4294967294" count="1" selected="0">
            <x v="1"/>
          </reference>
          <reference field="13" count="1" selected="0">
            <x v="0"/>
          </reference>
        </references>
      </pivotArea>
    </chartFormat>
    <chartFormat chart="8" format="25">
      <pivotArea type="data" outline="0" fieldPosition="0">
        <references count="2">
          <reference field="4294967294" count="1" selected="0">
            <x v="1"/>
          </reference>
          <reference field="13" count="1" selected="0">
            <x v="1"/>
          </reference>
        </references>
      </pivotArea>
    </chartFormat>
    <chartFormat chart="8" format="26">
      <pivotArea type="data" outline="0" fieldPosition="0">
        <references count="2">
          <reference field="4294967294" count="1" selected="0">
            <x v="1"/>
          </reference>
          <reference field="13" count="1" selected="0">
            <x v="2"/>
          </reference>
        </references>
      </pivotArea>
    </chartFormat>
    <chartFormat chart="8" format="27">
      <pivotArea type="data" outline="0" fieldPosition="0">
        <references count="2">
          <reference field="4294967294" count="1" selected="0">
            <x v="1"/>
          </reference>
          <reference field="13" count="1" selected="0">
            <x v="3"/>
          </reference>
        </references>
      </pivotArea>
    </chartFormat>
    <chartFormat chart="8" format="28">
      <pivotArea type="data" outline="0" fieldPosition="0">
        <references count="2">
          <reference field="4294967294" count="1" selected="0">
            <x v="1"/>
          </reference>
          <reference field="13" count="1" selected="0">
            <x v="4"/>
          </reference>
        </references>
      </pivotArea>
    </chartFormat>
    <chartFormat chart="8" format="29">
      <pivotArea type="data" outline="0" fieldPosition="0">
        <references count="2">
          <reference field="4294967294" count="1" selected="0">
            <x v="1"/>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D97F5F-222D-4539-9F9E-0096C0A312E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C14" firstHeaderRow="0" firstDataRow="1" firstDataCol="1"/>
  <pivotFields count="16">
    <pivotField showAll="0"/>
    <pivotField axis="axisRow" numFmtId="164" showAll="0">
      <items count="274">
        <item x="246"/>
        <item x="218"/>
        <item x="162"/>
        <item x="11"/>
        <item x="215"/>
        <item x="137"/>
        <item x="259"/>
        <item x="76"/>
        <item x="169"/>
        <item x="36"/>
        <item x="37"/>
        <item x="185"/>
        <item x="179"/>
        <item x="86"/>
        <item x="254"/>
        <item x="202"/>
        <item x="171"/>
        <item x="44"/>
        <item x="24"/>
        <item x="30"/>
        <item x="68"/>
        <item x="223"/>
        <item x="13"/>
        <item x="157"/>
        <item x="196"/>
        <item x="257"/>
        <item x="211"/>
        <item x="145"/>
        <item x="95"/>
        <item x="107"/>
        <item x="43"/>
        <item x="188"/>
        <item x="262"/>
        <item x="101"/>
        <item x="189"/>
        <item x="127"/>
        <item x="100"/>
        <item x="67"/>
        <item x="271"/>
        <item x="113"/>
        <item x="181"/>
        <item x="235"/>
        <item x="73"/>
        <item x="78"/>
        <item x="80"/>
        <item x="239"/>
        <item x="112"/>
        <item x="138"/>
        <item x="142"/>
        <item x="149"/>
        <item x="208"/>
        <item x="93"/>
        <item x="163"/>
        <item x="200"/>
        <item x="135"/>
        <item x="236"/>
        <item x="212"/>
        <item x="50"/>
        <item x="268"/>
        <item x="253"/>
        <item x="22"/>
        <item x="56"/>
        <item x="201"/>
        <item x="71"/>
        <item x="41"/>
        <item x="224"/>
        <item x="34"/>
        <item x="193"/>
        <item x="243"/>
        <item x="66"/>
        <item x="164"/>
        <item x="129"/>
        <item x="263"/>
        <item x="57"/>
        <item x="222"/>
        <item x="166"/>
        <item x="177"/>
        <item x="170"/>
        <item x="184"/>
        <item x="256"/>
        <item x="197"/>
        <item x="109"/>
        <item x="180"/>
        <item x="46"/>
        <item x="132"/>
        <item x="244"/>
        <item x="25"/>
        <item x="104"/>
        <item x="84"/>
        <item x="81"/>
        <item x="151"/>
        <item x="247"/>
        <item x="92"/>
        <item x="217"/>
        <item x="265"/>
        <item x="144"/>
        <item x="9"/>
        <item x="4"/>
        <item x="175"/>
        <item x="183"/>
        <item x="29"/>
        <item x="209"/>
        <item x="103"/>
        <item x="3"/>
        <item x="62"/>
        <item x="126"/>
        <item x="133"/>
        <item x="242"/>
        <item x="237"/>
        <item x="250"/>
        <item x="252"/>
        <item x="210"/>
        <item x="155"/>
        <item x="40"/>
        <item x="15"/>
        <item x="191"/>
        <item x="8"/>
        <item x="233"/>
        <item x="140"/>
        <item x="192"/>
        <item x="77"/>
        <item x="220"/>
        <item x="122"/>
        <item x="238"/>
        <item x="54"/>
        <item x="116"/>
        <item x="158"/>
        <item x="249"/>
        <item x="58"/>
        <item x="27"/>
        <item x="55"/>
        <item x="124"/>
        <item x="176"/>
        <item x="136"/>
        <item x="59"/>
        <item x="241"/>
        <item x="147"/>
        <item x="152"/>
        <item x="216"/>
        <item x="88"/>
        <item x="186"/>
        <item x="90"/>
        <item x="153"/>
        <item x="227"/>
        <item x="199"/>
        <item x="187"/>
        <item x="198"/>
        <item x="229"/>
        <item x="120"/>
        <item x="240"/>
        <item x="182"/>
        <item x="261"/>
        <item x="148"/>
        <item x="267"/>
        <item x="82"/>
        <item x="161"/>
        <item x="260"/>
        <item x="20"/>
        <item x="110"/>
        <item x="213"/>
        <item x="32"/>
        <item x="111"/>
        <item x="255"/>
        <item x="121"/>
        <item x="75"/>
        <item x="69"/>
        <item x="31"/>
        <item x="141"/>
        <item x="83"/>
        <item x="105"/>
        <item x="203"/>
        <item x="206"/>
        <item x="65"/>
        <item x="106"/>
        <item x="266"/>
        <item x="98"/>
        <item x="60"/>
        <item x="19"/>
        <item x="35"/>
        <item x="160"/>
        <item x="18"/>
        <item x="48"/>
        <item x="228"/>
        <item x="23"/>
        <item x="230"/>
        <item x="214"/>
        <item x="119"/>
        <item x="79"/>
        <item x="94"/>
        <item x="146"/>
        <item x="258"/>
        <item x="248"/>
        <item x="17"/>
        <item x="232"/>
        <item x="139"/>
        <item x="156"/>
        <item x="28"/>
        <item x="204"/>
        <item x="131"/>
        <item x="96"/>
        <item x="99"/>
        <item x="12"/>
        <item x="52"/>
        <item x="272"/>
        <item x="264"/>
        <item x="102"/>
        <item x="173"/>
        <item x="33"/>
        <item x="234"/>
        <item x="91"/>
        <item x="226"/>
        <item x="74"/>
        <item x="190"/>
        <item x="114"/>
        <item x="172"/>
        <item x="5"/>
        <item x="178"/>
        <item x="207"/>
        <item x="51"/>
        <item x="219"/>
        <item x="16"/>
        <item x="1"/>
        <item x="47"/>
        <item x="108"/>
        <item x="118"/>
        <item x="125"/>
        <item x="38"/>
        <item x="61"/>
        <item x="270"/>
        <item x="221"/>
        <item x="159"/>
        <item x="117"/>
        <item x="70"/>
        <item x="134"/>
        <item x="85"/>
        <item x="10"/>
        <item x="269"/>
        <item x="245"/>
        <item x="6"/>
        <item x="195"/>
        <item x="0"/>
        <item x="53"/>
        <item x="123"/>
        <item x="251"/>
        <item x="2"/>
        <item x="21"/>
        <item x="165"/>
        <item x="42"/>
        <item x="26"/>
        <item x="14"/>
        <item x="130"/>
        <item x="64"/>
        <item x="225"/>
        <item x="89"/>
        <item x="231"/>
        <item x="128"/>
        <item x="194"/>
        <item x="97"/>
        <item x="143"/>
        <item x="154"/>
        <item x="168"/>
        <item x="7"/>
        <item x="39"/>
        <item x="63"/>
        <item x="115"/>
        <item x="45"/>
        <item x="167"/>
        <item x="87"/>
        <item x="72"/>
        <item x="174"/>
        <item x="150"/>
        <item x="205"/>
        <item x="49"/>
        <item t="default"/>
      </items>
    </pivotField>
    <pivotField showAll="0"/>
    <pivotField showAll="0">
      <items count="5">
        <item x="3"/>
        <item x="0"/>
        <item x="2"/>
        <item x="1"/>
        <item t="default"/>
      </items>
    </pivotField>
    <pivotField showAll="0"/>
    <pivotField showAll="0"/>
    <pivotField showAll="0">
      <items count="6">
        <item x="4"/>
        <item x="2"/>
        <item x="1"/>
        <item x="0"/>
        <item x="3"/>
        <item t="default"/>
      </items>
    </pivotField>
    <pivotField showAll="0"/>
    <pivotField showAll="0"/>
    <pivotField numFmtId="165" showAll="0"/>
    <pivotField dataField="1" numFmtId="165" showAll="0"/>
    <pivotField numFmtId="165" showAll="0"/>
    <pivotField dataField="1" numFmtId="165" showAll="0"/>
    <pivotField showAll="0">
      <items count="7">
        <item x="4"/>
        <item x="5"/>
        <item x="2"/>
        <item x="3"/>
        <item x="0"/>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0" baseField="0" baseItem="0" numFmtId="165"/>
    <dataField name="Sum of Profit" fld="12" baseField="0" baseItem="0" numFmtId="165"/>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C92969-9822-425C-B801-D30F9B70D73B}" sourceName="Region">
  <pivotTables>
    <pivotTable tabId="3" name="PivotTable1"/>
    <pivotTable tabId="4" name="PivotTable2"/>
    <pivotTable tabId="7" name="PivotTable5"/>
    <pivotTable tabId="5" name="PivotTable3"/>
    <pivotTable tabId="6" name="PivotTable4"/>
  </pivotTables>
  <data>
    <tabular pivotCacheId="125228679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ED5E4F-C33D-4521-9D15-0C4DE5E9C07F}" sourceName="Category">
  <pivotTables>
    <pivotTable tabId="3" name="PivotTable1"/>
    <pivotTable tabId="4" name="PivotTable2"/>
    <pivotTable tabId="7" name="PivotTable5"/>
    <pivotTable tabId="5" name="PivotTable3"/>
    <pivotTable tabId="6" name="PivotTable4"/>
  </pivotTables>
  <data>
    <tabular pivotCacheId="1252286793">
      <items count="5">
        <i x="4" s="1"/>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5614872-C1FF-4AA0-AE02-C64754C91B71}" sourceName="Payment Mode">
  <pivotTables>
    <pivotTable tabId="3" name="PivotTable1"/>
    <pivotTable tabId="4" name="PivotTable2"/>
    <pivotTable tabId="7" name="PivotTable5"/>
    <pivotTable tabId="5" name="PivotTable3"/>
    <pivotTable tabId="6" name="PivotTable4"/>
  </pivotTables>
  <data>
    <tabular pivotCacheId="1252286793">
      <items count="6">
        <i x="4" s="1"/>
        <i x="5"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EAEBEC0-F3E0-4996-9084-6CD38E6A99B0}" cache="Slicer_Region" caption="Region" style="SlicerStyleLight3" rowHeight="234950"/>
  <slicer name="Category" xr10:uid="{CC5F6721-A823-4038-9367-93439FD7EB75}" cache="Slicer_Category" caption="Category" style="SlicerStyleLight3" rowHeight="234950"/>
  <slicer name="Payment Mode" xr10:uid="{7D33914A-3241-4D37-AB23-2E9E13B63AB2}" cache="Slicer_Payment_Mode" caption="Payment Mode"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1:N501">
  <autoFilter ref="A1:N501" xr:uid="{00000000-0009-0000-0100-000001000000}"/>
  <tableColumns count="14">
    <tableColumn id="1" xr3:uid="{00000000-0010-0000-0000-000001000000}" name="Order ID"/>
    <tableColumn id="2" xr3:uid="{00000000-0010-0000-0000-000002000000}" name="Order Date"/>
    <tableColumn id="3" xr3:uid="{00000000-0010-0000-0000-000003000000}" name="Customer Name"/>
    <tableColumn id="4" xr3:uid="{00000000-0010-0000-0000-000004000000}" name="Region"/>
    <tableColumn id="5" xr3:uid="{00000000-0010-0000-0000-000005000000}" name="State"/>
    <tableColumn id="6" xr3:uid="{00000000-0010-0000-0000-000006000000}" name="City"/>
    <tableColumn id="7" xr3:uid="{00000000-0010-0000-0000-000007000000}" name="Category"/>
    <tableColumn id="8" xr3:uid="{00000000-0010-0000-0000-000008000000}" name="Product"/>
    <tableColumn id="9" xr3:uid="{00000000-0010-0000-0000-000009000000}" name="Quantity"/>
    <tableColumn id="10" xr3:uid="{00000000-0010-0000-0000-00000A000000}" name="Unit Price"/>
    <tableColumn id="11" xr3:uid="{00000000-0010-0000-0000-00000B000000}" name="Sales"/>
    <tableColumn id="12" xr3:uid="{00000000-0010-0000-0000-00000C000000}" name="Cost"/>
    <tableColumn id="13" xr3:uid="{00000000-0010-0000-0000-00000D000000}" name="Profit"/>
    <tableColumn id="14" xr3:uid="{00000000-0010-0000-0000-00000E000000}"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F71667F-CF49-4603-81E5-E0B598412532}" sourceName="Order Date">
  <pivotTables>
    <pivotTable tabId="3" name="PivotTable1"/>
  </pivotTables>
  <state minimalRefreshVersion="6" lastRefreshVersion="6" pivotCacheId="1252286793"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78F9A22-3AC3-468F-9BC4-02D38E3C7C94}" cache="NativeTimeline_Order_Date" caption="Order Date" level="2" selectionLevel="2" scrollPosition="2024-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8036-8D5B-4FF3-9331-68B2F8AB4D8F}">
  <dimension ref="A1:C7"/>
  <sheetViews>
    <sheetView topLeftCell="F1" workbookViewId="0">
      <selection activeCell="S12" sqref="S12"/>
    </sheetView>
  </sheetViews>
  <sheetFormatPr defaultRowHeight="14.4" x14ac:dyDescent="0.3"/>
  <cols>
    <col min="1" max="1" width="14.21875" bestFit="1" customWidth="1"/>
    <col min="2" max="2" width="14.33203125" bestFit="1" customWidth="1"/>
    <col min="3" max="3" width="12.6640625" bestFit="1" customWidth="1"/>
  </cols>
  <sheetData>
    <row r="1" spans="1:3" x14ac:dyDescent="0.3">
      <c r="A1" s="4" t="s">
        <v>605</v>
      </c>
      <c r="B1" t="s">
        <v>619</v>
      </c>
      <c r="C1" t="s">
        <v>620</v>
      </c>
    </row>
    <row r="2" spans="1:3" x14ac:dyDescent="0.3">
      <c r="A2" s="5" t="s">
        <v>82</v>
      </c>
      <c r="B2" s="3">
        <v>244899.80999999997</v>
      </c>
      <c r="C2" s="3">
        <v>53570.759999999987</v>
      </c>
    </row>
    <row r="3" spans="1:3" x14ac:dyDescent="0.3">
      <c r="A3" s="5" t="s">
        <v>34</v>
      </c>
      <c r="B3" s="3">
        <v>877200.01000000036</v>
      </c>
      <c r="C3" s="3">
        <v>187121.0199999999</v>
      </c>
    </row>
    <row r="4" spans="1:3" x14ac:dyDescent="0.3">
      <c r="A4" s="5" t="s">
        <v>27</v>
      </c>
      <c r="B4" s="3">
        <v>8281700.6399999997</v>
      </c>
      <c r="C4" s="3">
        <v>1828488.7999999996</v>
      </c>
    </row>
    <row r="5" spans="1:3" x14ac:dyDescent="0.3">
      <c r="A5" s="5" t="s">
        <v>19</v>
      </c>
      <c r="B5" s="3">
        <v>614180.70999999985</v>
      </c>
      <c r="C5" s="3">
        <v>136766.94</v>
      </c>
    </row>
    <row r="6" spans="1:3" x14ac:dyDescent="0.3">
      <c r="A6" s="5" t="s">
        <v>42</v>
      </c>
      <c r="B6" s="3">
        <v>382968.22999999981</v>
      </c>
      <c r="C6" s="3">
        <v>85514.999999999985</v>
      </c>
    </row>
    <row r="7" spans="1:3" x14ac:dyDescent="0.3">
      <c r="A7" s="5" t="s">
        <v>606</v>
      </c>
      <c r="B7" s="3">
        <v>10400949.4</v>
      </c>
      <c r="C7" s="3">
        <v>2291462.5199999996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894A8-31D9-42D2-89CB-49870B8689B6}">
  <dimension ref="A3:C8"/>
  <sheetViews>
    <sheetView workbookViewId="0">
      <selection activeCell="A3" sqref="A3:C8"/>
    </sheetView>
  </sheetViews>
  <sheetFormatPr defaultRowHeight="14.4" x14ac:dyDescent="0.3"/>
  <cols>
    <col min="1" max="1" width="12.5546875" bestFit="1" customWidth="1"/>
    <col min="2" max="2" width="14.33203125" bestFit="1" customWidth="1"/>
    <col min="3" max="3" width="12.6640625" bestFit="1" customWidth="1"/>
  </cols>
  <sheetData>
    <row r="3" spans="1:3" x14ac:dyDescent="0.3">
      <c r="A3" s="4" t="s">
        <v>605</v>
      </c>
      <c r="B3" t="s">
        <v>619</v>
      </c>
      <c r="C3" t="s">
        <v>620</v>
      </c>
    </row>
    <row r="4" spans="1:3" x14ac:dyDescent="0.3">
      <c r="A4" s="5" t="s">
        <v>65</v>
      </c>
      <c r="B4" s="3">
        <v>3107121.4099999988</v>
      </c>
      <c r="C4" s="3">
        <v>653332.05999999959</v>
      </c>
    </row>
    <row r="5" spans="1:3" x14ac:dyDescent="0.3">
      <c r="A5" s="5" t="s">
        <v>16</v>
      </c>
      <c r="B5" s="3">
        <v>3042436.74</v>
      </c>
      <c r="C5" s="3">
        <v>748334.8899999999</v>
      </c>
    </row>
    <row r="6" spans="1:3" x14ac:dyDescent="0.3">
      <c r="A6" s="5" t="s">
        <v>39</v>
      </c>
      <c r="B6" s="3">
        <v>2176801.2100000009</v>
      </c>
      <c r="C6" s="3">
        <v>438384.86999999982</v>
      </c>
    </row>
    <row r="7" spans="1:3" x14ac:dyDescent="0.3">
      <c r="A7" s="5" t="s">
        <v>24</v>
      </c>
      <c r="B7" s="3">
        <v>2074590.0400000005</v>
      </c>
      <c r="C7" s="3">
        <v>451410.7000000003</v>
      </c>
    </row>
    <row r="8" spans="1:3" x14ac:dyDescent="0.3">
      <c r="A8" s="5" t="s">
        <v>606</v>
      </c>
      <c r="B8" s="3">
        <v>10400949.4</v>
      </c>
      <c r="C8" s="3">
        <v>2291462.5199999996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AF3A-F7DE-47B1-9C6F-870745048816}">
  <dimension ref="A3:C14"/>
  <sheetViews>
    <sheetView workbookViewId="0">
      <selection activeCell="A3" sqref="A3:C15"/>
    </sheetView>
  </sheetViews>
  <sheetFormatPr defaultRowHeight="14.4" x14ac:dyDescent="0.3"/>
  <cols>
    <col min="1" max="1" width="16.109375" bestFit="1" customWidth="1"/>
    <col min="2" max="3" width="12.6640625" bestFit="1" customWidth="1"/>
  </cols>
  <sheetData>
    <row r="3" spans="1:3" x14ac:dyDescent="0.3">
      <c r="A3" s="4" t="s">
        <v>605</v>
      </c>
      <c r="B3" t="s">
        <v>619</v>
      </c>
      <c r="C3" t="s">
        <v>620</v>
      </c>
    </row>
    <row r="4" spans="1:3" x14ac:dyDescent="0.3">
      <c r="A4" s="5" t="s">
        <v>28</v>
      </c>
      <c r="B4" s="3">
        <v>5435916.0999999996</v>
      </c>
      <c r="C4" s="3">
        <v>1167864.78</v>
      </c>
    </row>
    <row r="5" spans="1:3" x14ac:dyDescent="0.3">
      <c r="A5" s="5" t="s">
        <v>68</v>
      </c>
      <c r="B5" s="3">
        <v>1871651.0300000003</v>
      </c>
      <c r="C5" s="3">
        <v>438945.09</v>
      </c>
    </row>
    <row r="6" spans="1:3" x14ac:dyDescent="0.3">
      <c r="A6" s="5" t="s">
        <v>61</v>
      </c>
      <c r="B6" s="3">
        <v>370886.19</v>
      </c>
      <c r="C6" s="3">
        <v>85873.620000000024</v>
      </c>
    </row>
    <row r="7" spans="1:3" x14ac:dyDescent="0.3">
      <c r="A7" s="5" t="s">
        <v>35</v>
      </c>
      <c r="B7" s="3">
        <v>325280.67</v>
      </c>
      <c r="C7" s="3">
        <v>70646.289999999994</v>
      </c>
    </row>
    <row r="8" spans="1:3" x14ac:dyDescent="0.3">
      <c r="A8" s="5" t="s">
        <v>59</v>
      </c>
      <c r="B8" s="3">
        <v>320983.83999999997</v>
      </c>
      <c r="C8" s="3">
        <v>73013.510000000024</v>
      </c>
    </row>
    <row r="9" spans="1:3" x14ac:dyDescent="0.3">
      <c r="A9" s="5" t="s">
        <v>91</v>
      </c>
      <c r="B9" s="3">
        <v>282263.48</v>
      </c>
      <c r="C9" s="3">
        <v>62791.8</v>
      </c>
    </row>
    <row r="10" spans="1:3" x14ac:dyDescent="0.3">
      <c r="A10" s="5" t="s">
        <v>49</v>
      </c>
      <c r="B10" s="3">
        <v>230685.85999999996</v>
      </c>
      <c r="C10" s="3">
        <v>43401.869999999995</v>
      </c>
    </row>
    <row r="11" spans="1:3" x14ac:dyDescent="0.3">
      <c r="A11" s="5" t="s">
        <v>20</v>
      </c>
      <c r="B11" s="3">
        <v>206544.91</v>
      </c>
      <c r="C11" s="3">
        <v>44330.36</v>
      </c>
    </row>
    <row r="12" spans="1:3" x14ac:dyDescent="0.3">
      <c r="A12" s="5" t="s">
        <v>43</v>
      </c>
      <c r="B12" s="3">
        <v>166214.26999999999</v>
      </c>
      <c r="C12" s="3">
        <v>38012.950000000012</v>
      </c>
    </row>
    <row r="13" spans="1:3" x14ac:dyDescent="0.3">
      <c r="A13" s="5" t="s">
        <v>171</v>
      </c>
      <c r="B13" s="3">
        <v>163501.65</v>
      </c>
      <c r="C13" s="3">
        <v>36999.97</v>
      </c>
    </row>
    <row r="14" spans="1:3" x14ac:dyDescent="0.3">
      <c r="A14" s="5" t="s">
        <v>606</v>
      </c>
      <c r="B14" s="3">
        <v>9373928</v>
      </c>
      <c r="C14" s="3">
        <v>2061880.2400000002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978D1-206F-49A7-8F17-995E3BD2BDF8}">
  <dimension ref="A3:C10"/>
  <sheetViews>
    <sheetView workbookViewId="0">
      <selection activeCell="A3" sqref="A3:C10"/>
    </sheetView>
  </sheetViews>
  <sheetFormatPr defaultRowHeight="14.4" x14ac:dyDescent="0.3"/>
  <cols>
    <col min="1" max="1" width="12.5546875" bestFit="1" customWidth="1"/>
    <col min="2" max="2" width="14.33203125" bestFit="1" customWidth="1"/>
    <col min="3" max="3" width="15.88671875" bestFit="1" customWidth="1"/>
    <col min="4" max="6" width="9.109375" bestFit="1" customWidth="1"/>
    <col min="7" max="7" width="11.6640625" bestFit="1" customWidth="1"/>
    <col min="8" max="8" width="9.109375" bestFit="1" customWidth="1"/>
    <col min="9" max="10" width="10.109375" bestFit="1" customWidth="1"/>
    <col min="11" max="13" width="9.109375" bestFit="1" customWidth="1"/>
    <col min="14" max="14" width="8.6640625" bestFit="1" customWidth="1"/>
    <col min="15" max="17" width="9.109375" bestFit="1" customWidth="1"/>
    <col min="18" max="18" width="10.109375" bestFit="1" customWidth="1"/>
    <col min="19" max="19" width="9.109375" bestFit="1" customWidth="1"/>
    <col min="20" max="21" width="10.109375" bestFit="1" customWidth="1"/>
    <col min="22" max="22" width="8.6640625" bestFit="1" customWidth="1"/>
    <col min="23" max="25" width="9.109375" bestFit="1" customWidth="1"/>
    <col min="26" max="27" width="10.109375" bestFit="1" customWidth="1"/>
    <col min="28" max="33" width="9.109375" bestFit="1" customWidth="1"/>
    <col min="34" max="34" width="10.109375" bestFit="1" customWidth="1"/>
    <col min="35" max="35" width="8.6640625" bestFit="1" customWidth="1"/>
    <col min="36" max="36" width="11.6640625" bestFit="1" customWidth="1"/>
    <col min="37" max="43" width="9.109375" bestFit="1" customWidth="1"/>
    <col min="44" max="45" width="10.109375" bestFit="1" customWidth="1"/>
    <col min="46" max="47" width="9.109375" bestFit="1" customWidth="1"/>
    <col min="48" max="48" width="11.6640625" bestFit="1" customWidth="1"/>
    <col min="49" max="49" width="10.109375" bestFit="1" customWidth="1"/>
    <col min="50" max="50" width="9.109375" bestFit="1" customWidth="1"/>
    <col min="51" max="51" width="10.109375" bestFit="1" customWidth="1"/>
    <col min="52" max="53" width="9.109375" bestFit="1" customWidth="1"/>
    <col min="54" max="55" width="10.109375" bestFit="1" customWidth="1"/>
    <col min="56" max="56" width="9.109375" bestFit="1" customWidth="1"/>
    <col min="57" max="57" width="10.109375" bestFit="1" customWidth="1"/>
    <col min="58" max="58" width="9.109375" bestFit="1" customWidth="1"/>
    <col min="59" max="59" width="8.6640625" bestFit="1" customWidth="1"/>
    <col min="60" max="60" width="9.109375" bestFit="1" customWidth="1"/>
    <col min="61" max="61" width="8.6640625" bestFit="1" customWidth="1"/>
    <col min="62" max="63" width="9.109375" bestFit="1" customWidth="1"/>
    <col min="64" max="64" width="10.109375" bestFit="1" customWidth="1"/>
    <col min="65" max="69" width="9.109375" bestFit="1" customWidth="1"/>
    <col min="70" max="70" width="8.6640625" bestFit="1" customWidth="1"/>
    <col min="71" max="71" width="10.109375" bestFit="1" customWidth="1"/>
    <col min="72" max="72" width="11.6640625" bestFit="1" customWidth="1"/>
    <col min="73" max="73" width="10.109375" bestFit="1" customWidth="1"/>
    <col min="74" max="74" width="11.6640625" bestFit="1" customWidth="1"/>
    <col min="75" max="75" width="9.109375" bestFit="1" customWidth="1"/>
    <col min="76" max="76" width="10.109375" bestFit="1" customWidth="1"/>
    <col min="77" max="77" width="9.109375" bestFit="1" customWidth="1"/>
    <col min="78" max="78" width="10.109375" bestFit="1" customWidth="1"/>
    <col min="79" max="79" width="9.109375" bestFit="1" customWidth="1"/>
    <col min="80" max="80" width="10.109375" bestFit="1" customWidth="1"/>
    <col min="81" max="81" width="11.6640625" bestFit="1" customWidth="1"/>
    <col min="82" max="82" width="8.6640625" bestFit="1" customWidth="1"/>
    <col min="83" max="83" width="10.109375" bestFit="1" customWidth="1"/>
    <col min="84" max="86" width="9.109375" bestFit="1" customWidth="1"/>
    <col min="87" max="87" width="10.109375" bestFit="1" customWidth="1"/>
    <col min="88" max="90" width="9.109375" bestFit="1" customWidth="1"/>
    <col min="91" max="91" width="10.109375" bestFit="1" customWidth="1"/>
    <col min="92" max="94" width="9.109375" bestFit="1" customWidth="1"/>
    <col min="95" max="95" width="8.6640625" bestFit="1" customWidth="1"/>
    <col min="96" max="100" width="9.109375" bestFit="1" customWidth="1"/>
    <col min="101" max="101" width="10.109375" bestFit="1" customWidth="1"/>
    <col min="102" max="108" width="9.109375" bestFit="1" customWidth="1"/>
    <col min="109" max="109" width="10.109375" bestFit="1" customWidth="1"/>
    <col min="110" max="110" width="9.109375" bestFit="1" customWidth="1"/>
    <col min="111" max="111" width="10.109375" bestFit="1" customWidth="1"/>
    <col min="112" max="112" width="9.109375" bestFit="1" customWidth="1"/>
    <col min="113" max="113" width="10.109375" bestFit="1" customWidth="1"/>
    <col min="114" max="119" width="9.109375" bestFit="1" customWidth="1"/>
    <col min="120" max="120" width="10.109375" bestFit="1" customWidth="1"/>
    <col min="121" max="122" width="9.109375" bestFit="1" customWidth="1"/>
    <col min="123" max="123" width="10.109375" bestFit="1" customWidth="1"/>
    <col min="124" max="125" width="9.109375" bestFit="1" customWidth="1"/>
    <col min="126" max="126" width="10.109375" bestFit="1" customWidth="1"/>
    <col min="127" max="131" width="9.109375" bestFit="1" customWidth="1"/>
    <col min="132" max="135" width="10.109375" bestFit="1" customWidth="1"/>
    <col min="136" max="136" width="11.6640625" bestFit="1" customWidth="1"/>
    <col min="137" max="138" width="10.109375" bestFit="1" customWidth="1"/>
    <col min="139" max="139" width="9.109375" bestFit="1" customWidth="1"/>
    <col min="140" max="140" width="10.109375" bestFit="1" customWidth="1"/>
    <col min="141" max="143" width="9.109375" bestFit="1" customWidth="1"/>
    <col min="144" max="144" width="10.109375" bestFit="1" customWidth="1"/>
    <col min="145" max="145" width="8.6640625" bestFit="1" customWidth="1"/>
    <col min="146" max="146" width="10.109375" bestFit="1" customWidth="1"/>
    <col min="147" max="147" width="8.6640625" bestFit="1" customWidth="1"/>
    <col min="148" max="148" width="10.109375" bestFit="1" customWidth="1"/>
    <col min="149" max="153" width="9.109375" bestFit="1" customWidth="1"/>
    <col min="154" max="154" width="10.109375" bestFit="1" customWidth="1"/>
    <col min="155" max="157" width="9.109375" bestFit="1" customWidth="1"/>
    <col min="158" max="158" width="11.6640625" bestFit="1" customWidth="1"/>
    <col min="159" max="159" width="8.6640625" bestFit="1" customWidth="1"/>
    <col min="160" max="162" width="9.109375" bestFit="1" customWidth="1"/>
    <col min="163" max="163" width="10.109375" bestFit="1" customWidth="1"/>
    <col min="164" max="167" width="9.109375" bestFit="1" customWidth="1"/>
    <col min="168" max="168" width="10.109375" bestFit="1" customWidth="1"/>
    <col min="169" max="170" width="9.109375" bestFit="1" customWidth="1"/>
    <col min="171" max="171" width="10.109375" bestFit="1" customWidth="1"/>
    <col min="172" max="172" width="9.109375" bestFit="1" customWidth="1"/>
    <col min="173" max="173" width="10.109375" bestFit="1" customWidth="1"/>
    <col min="174" max="176" width="9.109375" bestFit="1" customWidth="1"/>
    <col min="177" max="177" width="11.6640625" bestFit="1" customWidth="1"/>
    <col min="178" max="178" width="10.109375" bestFit="1" customWidth="1"/>
    <col min="179" max="179" width="8.6640625" bestFit="1" customWidth="1"/>
    <col min="180" max="182" width="9.109375" bestFit="1" customWidth="1"/>
    <col min="183" max="183" width="10.109375" bestFit="1" customWidth="1"/>
    <col min="184" max="184" width="8.6640625" bestFit="1" customWidth="1"/>
    <col min="185" max="186" width="9.109375" bestFit="1" customWidth="1"/>
    <col min="187" max="187" width="8.6640625" bestFit="1" customWidth="1"/>
    <col min="188" max="188" width="10.109375" bestFit="1" customWidth="1"/>
    <col min="189" max="190" width="9.109375" bestFit="1" customWidth="1"/>
    <col min="191" max="191" width="10.109375" bestFit="1" customWidth="1"/>
    <col min="192" max="192" width="9.109375" bestFit="1" customWidth="1"/>
    <col min="193" max="193" width="8.6640625" bestFit="1" customWidth="1"/>
    <col min="194" max="196" width="10.109375" bestFit="1" customWidth="1"/>
    <col min="197" max="197" width="9.109375" bestFit="1" customWidth="1"/>
    <col min="198" max="198" width="11.6640625" bestFit="1" customWidth="1"/>
    <col min="199" max="200" width="9.109375" bestFit="1" customWidth="1"/>
    <col min="201" max="201" width="10.109375" bestFit="1" customWidth="1"/>
    <col min="202" max="202" width="8.6640625" bestFit="1" customWidth="1"/>
    <col min="203" max="203" width="11.6640625" bestFit="1" customWidth="1"/>
    <col min="204" max="204" width="9.109375" bestFit="1" customWidth="1"/>
    <col min="205" max="206" width="10.109375" bestFit="1" customWidth="1"/>
    <col min="207" max="210" width="9.109375" bestFit="1" customWidth="1"/>
    <col min="211" max="211" width="8.6640625" bestFit="1" customWidth="1"/>
    <col min="212" max="213" width="9.109375" bestFit="1" customWidth="1"/>
    <col min="214" max="215" width="10.109375" bestFit="1" customWidth="1"/>
    <col min="216" max="217" width="9.109375" bestFit="1" customWidth="1"/>
    <col min="218" max="218" width="10.109375" bestFit="1" customWidth="1"/>
    <col min="219" max="223" width="9.109375" bestFit="1" customWidth="1"/>
    <col min="224" max="224" width="11.6640625" bestFit="1" customWidth="1"/>
    <col min="225" max="226" width="9.109375" bestFit="1" customWidth="1"/>
    <col min="227" max="227" width="10.109375" bestFit="1" customWidth="1"/>
    <col min="228" max="228" width="9.109375" bestFit="1" customWidth="1"/>
    <col min="229" max="229" width="10.109375" bestFit="1" customWidth="1"/>
    <col min="230" max="230" width="9.109375" bestFit="1" customWidth="1"/>
    <col min="231" max="231" width="10.109375" bestFit="1" customWidth="1"/>
    <col min="232" max="232" width="11.6640625" bestFit="1" customWidth="1"/>
    <col min="233" max="237" width="9.109375" bestFit="1" customWidth="1"/>
    <col min="238" max="238" width="11.6640625" bestFit="1" customWidth="1"/>
    <col min="239" max="239" width="9.109375" bestFit="1" customWidth="1"/>
    <col min="240" max="240" width="10.109375" bestFit="1" customWidth="1"/>
    <col min="241" max="245" width="9.109375" bestFit="1" customWidth="1"/>
    <col min="246" max="250" width="10.109375" bestFit="1" customWidth="1"/>
    <col min="251" max="251" width="8.6640625" bestFit="1" customWidth="1"/>
    <col min="252" max="252" width="10.109375" bestFit="1" customWidth="1"/>
    <col min="253" max="255" width="9.109375" bestFit="1" customWidth="1"/>
    <col min="256" max="256" width="10.109375" bestFit="1" customWidth="1"/>
    <col min="257" max="257" width="8.6640625" bestFit="1" customWidth="1"/>
    <col min="258" max="258" width="10.109375" bestFit="1" customWidth="1"/>
    <col min="259" max="259" width="9.109375" bestFit="1" customWidth="1"/>
    <col min="260" max="260" width="10.109375" bestFit="1" customWidth="1"/>
    <col min="261" max="264" width="9.109375" bestFit="1" customWidth="1"/>
    <col min="265" max="265" width="10.109375" bestFit="1" customWidth="1"/>
    <col min="266" max="267" width="9.109375" bestFit="1" customWidth="1"/>
    <col min="268" max="269" width="10.109375" bestFit="1" customWidth="1"/>
    <col min="270" max="270" width="9.109375" bestFit="1" customWidth="1"/>
    <col min="271" max="271" width="11.6640625" bestFit="1" customWidth="1"/>
    <col min="272" max="274" width="9.109375" bestFit="1" customWidth="1"/>
    <col min="275" max="275" width="8.6640625" bestFit="1" customWidth="1"/>
    <col min="276" max="276" width="10.109375" bestFit="1" customWidth="1"/>
    <col min="277" max="278" width="9.109375" bestFit="1" customWidth="1"/>
    <col min="279" max="280" width="10.109375" bestFit="1" customWidth="1"/>
    <col min="281" max="282" width="9.109375" bestFit="1" customWidth="1"/>
    <col min="283" max="283" width="10.109375" bestFit="1" customWidth="1"/>
    <col min="284" max="284" width="9.109375" bestFit="1" customWidth="1"/>
    <col min="285" max="285" width="10.109375" bestFit="1" customWidth="1"/>
    <col min="286" max="286" width="9.109375" bestFit="1" customWidth="1"/>
    <col min="287" max="287" width="10.109375" bestFit="1" customWidth="1"/>
    <col min="288" max="288" width="9.109375" bestFit="1" customWidth="1"/>
    <col min="289" max="289" width="11.6640625" bestFit="1" customWidth="1"/>
    <col min="290" max="290" width="9.109375" bestFit="1" customWidth="1"/>
    <col min="291" max="291" width="10.109375" bestFit="1" customWidth="1"/>
    <col min="292" max="292" width="9.109375" bestFit="1" customWidth="1"/>
    <col min="293" max="293" width="10.109375" bestFit="1" customWidth="1"/>
    <col min="294" max="295" width="9.109375" bestFit="1" customWidth="1"/>
    <col min="296" max="296" width="8.6640625" bestFit="1" customWidth="1"/>
    <col min="297" max="297" width="9.109375" bestFit="1" customWidth="1"/>
    <col min="298" max="298" width="10.109375" bestFit="1" customWidth="1"/>
    <col min="299" max="300" width="9.109375" bestFit="1" customWidth="1"/>
    <col min="301" max="301" width="10.109375" bestFit="1" customWidth="1"/>
    <col min="302" max="302" width="9.109375" bestFit="1" customWidth="1"/>
    <col min="303" max="303" width="8.6640625" bestFit="1" customWidth="1"/>
    <col min="304" max="305" width="10.109375" bestFit="1" customWidth="1"/>
    <col min="306" max="307" width="9.109375" bestFit="1" customWidth="1"/>
    <col min="308" max="308" width="10.109375" bestFit="1" customWidth="1"/>
    <col min="309" max="310" width="9.109375" bestFit="1" customWidth="1"/>
    <col min="311" max="312" width="10.109375" bestFit="1" customWidth="1"/>
    <col min="313" max="315" width="9.109375" bestFit="1" customWidth="1"/>
    <col min="316" max="316" width="8.6640625" bestFit="1" customWidth="1"/>
    <col min="317" max="320" width="9.109375" bestFit="1" customWidth="1"/>
    <col min="321" max="321" width="10.109375" bestFit="1" customWidth="1"/>
    <col min="322" max="324" width="9.109375" bestFit="1" customWidth="1"/>
    <col min="325" max="327" width="10.109375" bestFit="1" customWidth="1"/>
    <col min="328" max="328" width="11.6640625" bestFit="1" customWidth="1"/>
    <col min="329" max="329" width="10.109375" bestFit="1" customWidth="1"/>
    <col min="330" max="330" width="9.109375" bestFit="1" customWidth="1"/>
    <col min="331" max="331" width="10.109375" bestFit="1" customWidth="1"/>
    <col min="332" max="332" width="9.109375" bestFit="1" customWidth="1"/>
    <col min="333" max="333" width="11.6640625" bestFit="1" customWidth="1"/>
    <col min="334" max="334" width="9.109375" bestFit="1" customWidth="1"/>
    <col min="335" max="336" width="10.109375" bestFit="1" customWidth="1"/>
    <col min="337" max="338" width="9.109375" bestFit="1" customWidth="1"/>
    <col min="339" max="339" width="10.109375" bestFit="1" customWidth="1"/>
    <col min="340" max="340" width="9.109375" bestFit="1" customWidth="1"/>
    <col min="341" max="342" width="10.109375" bestFit="1" customWidth="1"/>
    <col min="343" max="346" width="9.109375" bestFit="1" customWidth="1"/>
    <col min="347" max="347" width="10.109375" bestFit="1" customWidth="1"/>
    <col min="348" max="349" width="9.109375" bestFit="1" customWidth="1"/>
    <col min="350" max="350" width="10.109375" bestFit="1" customWidth="1"/>
    <col min="351" max="352" width="9.109375" bestFit="1" customWidth="1"/>
    <col min="353" max="353" width="10.109375" bestFit="1" customWidth="1"/>
    <col min="354" max="360" width="9.109375" bestFit="1" customWidth="1"/>
    <col min="361" max="361" width="10.109375" bestFit="1" customWidth="1"/>
    <col min="362" max="363" width="9.109375" bestFit="1" customWidth="1"/>
    <col min="364" max="364" width="11.6640625" bestFit="1" customWidth="1"/>
    <col min="365" max="365" width="10.109375" bestFit="1" customWidth="1"/>
    <col min="366" max="366" width="9.109375" bestFit="1" customWidth="1"/>
    <col min="367" max="367" width="10.109375" bestFit="1" customWidth="1"/>
    <col min="368" max="368" width="9.109375" bestFit="1" customWidth="1"/>
    <col min="369" max="369" width="8.6640625" bestFit="1" customWidth="1"/>
    <col min="370" max="371" width="10.109375" bestFit="1" customWidth="1"/>
    <col min="372" max="374" width="9.109375" bestFit="1" customWidth="1"/>
    <col min="375" max="376" width="10.109375" bestFit="1" customWidth="1"/>
    <col min="377" max="378" width="9.109375" bestFit="1" customWidth="1"/>
    <col min="379" max="381" width="10.109375" bestFit="1" customWidth="1"/>
    <col min="382" max="385" width="9.109375" bestFit="1" customWidth="1"/>
    <col min="386" max="388" width="10.109375" bestFit="1" customWidth="1"/>
    <col min="389" max="389" width="9.109375" bestFit="1" customWidth="1"/>
    <col min="390" max="390" width="11.6640625" bestFit="1" customWidth="1"/>
    <col min="391" max="393" width="9.109375" bestFit="1" customWidth="1"/>
    <col min="394" max="396" width="10.109375" bestFit="1" customWidth="1"/>
    <col min="397" max="397" width="9.109375" bestFit="1" customWidth="1"/>
    <col min="398" max="398" width="8.6640625" bestFit="1" customWidth="1"/>
    <col min="399" max="402" width="10.109375" bestFit="1" customWidth="1"/>
    <col min="403" max="405" width="9.109375" bestFit="1" customWidth="1"/>
    <col min="406" max="406" width="10.109375" bestFit="1" customWidth="1"/>
    <col min="407" max="415" width="9.109375" bestFit="1" customWidth="1"/>
    <col min="416" max="416" width="10.109375" bestFit="1" customWidth="1"/>
    <col min="417" max="417" width="9.109375" bestFit="1" customWidth="1"/>
    <col min="418" max="418" width="10.109375" bestFit="1" customWidth="1"/>
    <col min="419" max="419" width="8.6640625" bestFit="1" customWidth="1"/>
    <col min="420" max="420" width="11.6640625" bestFit="1" customWidth="1"/>
    <col min="421" max="421" width="9.109375" bestFit="1" customWidth="1"/>
    <col min="422" max="422" width="10.109375" bestFit="1" customWidth="1"/>
    <col min="423" max="424" width="9.109375" bestFit="1" customWidth="1"/>
    <col min="425" max="427" width="10.109375" bestFit="1" customWidth="1"/>
    <col min="428" max="428" width="11.6640625" bestFit="1" customWidth="1"/>
    <col min="429" max="430" width="9.109375" bestFit="1" customWidth="1"/>
    <col min="431" max="432" width="11.6640625" bestFit="1" customWidth="1"/>
    <col min="433" max="433" width="9.109375" bestFit="1" customWidth="1"/>
    <col min="434" max="434" width="10.109375" bestFit="1" customWidth="1"/>
    <col min="435" max="435" width="9.109375" bestFit="1" customWidth="1"/>
    <col min="436" max="436" width="10.109375" bestFit="1" customWidth="1"/>
    <col min="437" max="437" width="9.109375" bestFit="1" customWidth="1"/>
    <col min="438" max="438" width="10.109375" bestFit="1" customWidth="1"/>
    <col min="439" max="441" width="9.109375" bestFit="1" customWidth="1"/>
    <col min="442" max="442" width="10.109375" bestFit="1" customWidth="1"/>
    <col min="443" max="443" width="8.6640625" bestFit="1" customWidth="1"/>
    <col min="444" max="448" width="9.109375" bestFit="1" customWidth="1"/>
    <col min="449" max="449" width="10.109375" bestFit="1" customWidth="1"/>
    <col min="450" max="453" width="9.109375" bestFit="1" customWidth="1"/>
    <col min="454" max="456" width="10.109375" bestFit="1" customWidth="1"/>
    <col min="457" max="457" width="11.6640625" bestFit="1" customWidth="1"/>
    <col min="458" max="460" width="10.109375" bestFit="1" customWidth="1"/>
    <col min="461" max="461" width="11.6640625" bestFit="1" customWidth="1"/>
    <col min="462" max="463" width="9.109375" bestFit="1" customWidth="1"/>
    <col min="464" max="464" width="10.109375" bestFit="1" customWidth="1"/>
    <col min="465" max="467" width="9.109375" bestFit="1" customWidth="1"/>
    <col min="468" max="469" width="8.6640625" bestFit="1" customWidth="1"/>
    <col min="470" max="470" width="10.109375" bestFit="1" customWidth="1"/>
    <col min="471" max="476" width="9.109375" bestFit="1" customWidth="1"/>
    <col min="477" max="477" width="10.109375" bestFit="1" customWidth="1"/>
    <col min="478" max="482" width="9.109375" bestFit="1" customWidth="1"/>
    <col min="483" max="483" width="10.109375" bestFit="1" customWidth="1"/>
    <col min="484" max="486" width="9.109375" bestFit="1" customWidth="1"/>
    <col min="487" max="487" width="8.6640625" bestFit="1" customWidth="1"/>
    <col min="488" max="490" width="9.109375" bestFit="1" customWidth="1"/>
    <col min="491" max="491" width="10.109375" bestFit="1" customWidth="1"/>
    <col min="492" max="492" width="9.109375" bestFit="1" customWidth="1"/>
    <col min="493" max="493" width="10.109375" bestFit="1" customWidth="1"/>
    <col min="494" max="495" width="9.109375" bestFit="1" customWidth="1"/>
    <col min="496" max="496" width="10.109375" bestFit="1" customWidth="1"/>
    <col min="497" max="497" width="9.109375" bestFit="1" customWidth="1"/>
    <col min="498" max="498" width="10.109375" bestFit="1" customWidth="1"/>
    <col min="499" max="501" width="9.109375" bestFit="1" customWidth="1"/>
    <col min="502" max="502" width="14.33203125" bestFit="1" customWidth="1"/>
  </cols>
  <sheetData>
    <row r="3" spans="1:3" x14ac:dyDescent="0.3">
      <c r="A3" s="4" t="s">
        <v>605</v>
      </c>
      <c r="B3" t="s">
        <v>619</v>
      </c>
      <c r="C3" t="s">
        <v>621</v>
      </c>
    </row>
    <row r="4" spans="1:3" x14ac:dyDescent="0.3">
      <c r="A4" s="5" t="s">
        <v>54</v>
      </c>
      <c r="B4" s="3">
        <v>1328358.47</v>
      </c>
      <c r="C4">
        <v>76</v>
      </c>
    </row>
    <row r="5" spans="1:3" x14ac:dyDescent="0.3">
      <c r="A5" s="5" t="s">
        <v>62</v>
      </c>
      <c r="B5" s="3">
        <v>1963052.8900000004</v>
      </c>
      <c r="C5">
        <v>81</v>
      </c>
    </row>
    <row r="6" spans="1:3" x14ac:dyDescent="0.3">
      <c r="A6" s="5" t="s">
        <v>36</v>
      </c>
      <c r="B6" s="3">
        <v>1522706.2399999998</v>
      </c>
      <c r="C6">
        <v>92</v>
      </c>
    </row>
    <row r="7" spans="1:3" x14ac:dyDescent="0.3">
      <c r="A7" s="5" t="s">
        <v>44</v>
      </c>
      <c r="B7" s="3">
        <v>1450047.7100000002</v>
      </c>
      <c r="C7">
        <v>86</v>
      </c>
    </row>
    <row r="8" spans="1:3" x14ac:dyDescent="0.3">
      <c r="A8" s="5" t="s">
        <v>21</v>
      </c>
      <c r="B8" s="3">
        <v>2131427.17</v>
      </c>
      <c r="C8">
        <v>90</v>
      </c>
    </row>
    <row r="9" spans="1:3" x14ac:dyDescent="0.3">
      <c r="A9" s="5" t="s">
        <v>29</v>
      </c>
      <c r="B9" s="3">
        <v>2005356.92</v>
      </c>
      <c r="C9">
        <v>75</v>
      </c>
    </row>
    <row r="10" spans="1:3" x14ac:dyDescent="0.3">
      <c r="A10" s="5" t="s">
        <v>606</v>
      </c>
      <c r="B10" s="3">
        <v>10400949.399999995</v>
      </c>
      <c r="C10">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workbookViewId="0">
      <pane ySplit="1" topLeftCell="A2" activePane="bottomLeft" state="frozen"/>
      <selection pane="bottomLeft" activeCell="C12" sqref="A2:N501"/>
    </sheetView>
  </sheetViews>
  <sheetFormatPr defaultRowHeight="14.4" x14ac:dyDescent="0.3"/>
  <cols>
    <col min="1" max="1" width="12" customWidth="1"/>
    <col min="2" max="2" width="14" customWidth="1"/>
    <col min="3" max="3" width="20" customWidth="1"/>
    <col min="4" max="4" width="12" customWidth="1"/>
    <col min="5" max="6" width="16" customWidth="1"/>
    <col min="7" max="7" width="18" customWidth="1"/>
    <col min="8" max="8" width="22" customWidth="1"/>
    <col min="9" max="9" width="10" customWidth="1"/>
    <col min="10" max="10" width="13" customWidth="1"/>
    <col min="11" max="13" width="14" customWidth="1"/>
    <col min="14" max="14" width="16"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45619</v>
      </c>
      <c r="C2" t="s">
        <v>15</v>
      </c>
      <c r="D2" t="s">
        <v>16</v>
      </c>
      <c r="E2" t="s">
        <v>17</v>
      </c>
      <c r="F2" t="s">
        <v>18</v>
      </c>
      <c r="G2" t="s">
        <v>19</v>
      </c>
      <c r="H2" t="s">
        <v>20</v>
      </c>
      <c r="I2">
        <v>2</v>
      </c>
      <c r="J2" s="3">
        <v>6031.4</v>
      </c>
      <c r="K2" s="3">
        <v>12062.8</v>
      </c>
      <c r="L2" s="3">
        <v>8449.98</v>
      </c>
      <c r="M2" s="3">
        <v>3612.82</v>
      </c>
      <c r="N2" t="s">
        <v>21</v>
      </c>
    </row>
    <row r="3" spans="1:14" x14ac:dyDescent="0.3">
      <c r="A3" t="s">
        <v>22</v>
      </c>
      <c r="B3" s="2">
        <v>45594</v>
      </c>
      <c r="C3" t="s">
        <v>23</v>
      </c>
      <c r="D3" t="s">
        <v>24</v>
      </c>
      <c r="E3" t="s">
        <v>25</v>
      </c>
      <c r="F3" t="s">
        <v>26</v>
      </c>
      <c r="G3" t="s">
        <v>27</v>
      </c>
      <c r="H3" t="s">
        <v>28</v>
      </c>
      <c r="I3">
        <v>2</v>
      </c>
      <c r="J3" s="3">
        <v>55058.91</v>
      </c>
      <c r="K3" s="3">
        <v>110117.82</v>
      </c>
      <c r="L3" s="3">
        <v>75464.53</v>
      </c>
      <c r="M3" s="3">
        <v>34653.29</v>
      </c>
      <c r="N3" t="s">
        <v>29</v>
      </c>
    </row>
    <row r="4" spans="1:14" x14ac:dyDescent="0.3">
      <c r="A4" t="s">
        <v>30</v>
      </c>
      <c r="B4" s="2">
        <v>45624</v>
      </c>
      <c r="C4" t="s">
        <v>31</v>
      </c>
      <c r="D4" t="s">
        <v>24</v>
      </c>
      <c r="E4" t="s">
        <v>32</v>
      </c>
      <c r="F4" t="s">
        <v>33</v>
      </c>
      <c r="G4" t="s">
        <v>34</v>
      </c>
      <c r="H4" t="s">
        <v>35</v>
      </c>
      <c r="I4">
        <v>1</v>
      </c>
      <c r="J4" s="3">
        <v>2629.4</v>
      </c>
      <c r="K4" s="3">
        <v>2629.4</v>
      </c>
      <c r="L4" s="3">
        <v>1871.95</v>
      </c>
      <c r="M4" s="3">
        <v>757.45</v>
      </c>
      <c r="N4" t="s">
        <v>36</v>
      </c>
    </row>
    <row r="5" spans="1:14" x14ac:dyDescent="0.3">
      <c r="A5" t="s">
        <v>37</v>
      </c>
      <c r="B5" s="2">
        <v>45434</v>
      </c>
      <c r="C5" t="s">
        <v>38</v>
      </c>
      <c r="D5" t="s">
        <v>39</v>
      </c>
      <c r="E5" t="s">
        <v>40</v>
      </c>
      <c r="F5" t="s">
        <v>41</v>
      </c>
      <c r="G5" t="s">
        <v>42</v>
      </c>
      <c r="H5" t="s">
        <v>43</v>
      </c>
      <c r="I5">
        <v>1</v>
      </c>
      <c r="J5" s="3">
        <v>2571.94</v>
      </c>
      <c r="K5" s="3">
        <v>2571.94</v>
      </c>
      <c r="L5" s="3">
        <v>1798.67</v>
      </c>
      <c r="M5" s="3">
        <v>773.27</v>
      </c>
      <c r="N5" t="s">
        <v>44</v>
      </c>
    </row>
    <row r="6" spans="1:14" x14ac:dyDescent="0.3">
      <c r="A6" t="s">
        <v>45</v>
      </c>
      <c r="B6" s="2">
        <v>45427</v>
      </c>
      <c r="C6" t="s">
        <v>46</v>
      </c>
      <c r="D6" t="s">
        <v>16</v>
      </c>
      <c r="E6" t="s">
        <v>47</v>
      </c>
      <c r="F6" t="s">
        <v>48</v>
      </c>
      <c r="G6" t="s">
        <v>34</v>
      </c>
      <c r="H6" t="s">
        <v>49</v>
      </c>
      <c r="I6">
        <v>1</v>
      </c>
      <c r="J6" s="3">
        <v>3233.31</v>
      </c>
      <c r="K6" s="3">
        <v>3233.31</v>
      </c>
      <c r="L6" s="3">
        <v>2735</v>
      </c>
      <c r="M6" s="3">
        <v>498.31</v>
      </c>
      <c r="N6" t="s">
        <v>36</v>
      </c>
    </row>
    <row r="7" spans="1:14" x14ac:dyDescent="0.3">
      <c r="A7" t="s">
        <v>50</v>
      </c>
      <c r="B7" s="2">
        <v>45587</v>
      </c>
      <c r="C7" t="s">
        <v>51</v>
      </c>
      <c r="D7" t="s">
        <v>39</v>
      </c>
      <c r="E7" t="s">
        <v>52</v>
      </c>
      <c r="F7" t="s">
        <v>53</v>
      </c>
      <c r="G7" t="s">
        <v>27</v>
      </c>
      <c r="H7" t="s">
        <v>28</v>
      </c>
      <c r="I7">
        <v>3</v>
      </c>
      <c r="J7" s="3">
        <v>60337.440000000002</v>
      </c>
      <c r="K7" s="3">
        <v>181012.32</v>
      </c>
      <c r="L7" s="3">
        <v>154052.99</v>
      </c>
      <c r="M7" s="3">
        <v>26959.33</v>
      </c>
      <c r="N7" t="s">
        <v>54</v>
      </c>
    </row>
    <row r="8" spans="1:14" x14ac:dyDescent="0.3">
      <c r="A8" t="s">
        <v>55</v>
      </c>
      <c r="B8" s="2">
        <v>45434</v>
      </c>
      <c r="C8" t="s">
        <v>56</v>
      </c>
      <c r="D8" t="s">
        <v>24</v>
      </c>
      <c r="E8" t="s">
        <v>57</v>
      </c>
      <c r="F8" t="s">
        <v>58</v>
      </c>
      <c r="G8" t="s">
        <v>27</v>
      </c>
      <c r="H8" t="s">
        <v>59</v>
      </c>
      <c r="I8">
        <v>2</v>
      </c>
      <c r="J8" s="3">
        <v>2585.09</v>
      </c>
      <c r="K8" s="3">
        <v>5170.18</v>
      </c>
      <c r="L8" s="3">
        <v>4241.43</v>
      </c>
      <c r="M8" s="3">
        <v>928.75</v>
      </c>
      <c r="N8" t="s">
        <v>44</v>
      </c>
    </row>
    <row r="9" spans="1:14" x14ac:dyDescent="0.3">
      <c r="A9" t="s">
        <v>60</v>
      </c>
      <c r="B9" s="2">
        <v>45617</v>
      </c>
      <c r="C9" t="s">
        <v>15</v>
      </c>
      <c r="D9" t="s">
        <v>39</v>
      </c>
      <c r="E9" t="s">
        <v>40</v>
      </c>
      <c r="F9" t="s">
        <v>41</v>
      </c>
      <c r="G9" t="s">
        <v>27</v>
      </c>
      <c r="H9" t="s">
        <v>61</v>
      </c>
      <c r="I9">
        <v>3</v>
      </c>
      <c r="J9" s="3">
        <v>4940.57</v>
      </c>
      <c r="K9" s="3">
        <v>14821.71</v>
      </c>
      <c r="L9" s="3">
        <v>11975.94</v>
      </c>
      <c r="M9" s="3">
        <v>2845.77</v>
      </c>
      <c r="N9" t="s">
        <v>62</v>
      </c>
    </row>
    <row r="10" spans="1:14" x14ac:dyDescent="0.3">
      <c r="A10" t="s">
        <v>63</v>
      </c>
      <c r="B10" s="2">
        <v>45642</v>
      </c>
      <c r="C10" t="s">
        <v>64</v>
      </c>
      <c r="D10" t="s">
        <v>65</v>
      </c>
      <c r="E10" t="s">
        <v>66</v>
      </c>
      <c r="F10" t="s">
        <v>67</v>
      </c>
      <c r="G10" t="s">
        <v>27</v>
      </c>
      <c r="H10" t="s">
        <v>68</v>
      </c>
      <c r="I10">
        <v>3</v>
      </c>
      <c r="J10" s="3">
        <v>17644.189999999999</v>
      </c>
      <c r="K10" s="3">
        <v>52932.57</v>
      </c>
      <c r="L10" s="3">
        <v>36694.85</v>
      </c>
      <c r="M10" s="3">
        <v>16237.72</v>
      </c>
      <c r="N10" t="s">
        <v>29</v>
      </c>
    </row>
    <row r="11" spans="1:14" x14ac:dyDescent="0.3">
      <c r="A11" t="s">
        <v>69</v>
      </c>
      <c r="B11" s="2">
        <v>45453</v>
      </c>
      <c r="C11" t="s">
        <v>15</v>
      </c>
      <c r="D11" t="s">
        <v>39</v>
      </c>
      <c r="E11" t="s">
        <v>70</v>
      </c>
      <c r="F11" t="s">
        <v>71</v>
      </c>
      <c r="G11" t="s">
        <v>34</v>
      </c>
      <c r="H11" t="s">
        <v>49</v>
      </c>
      <c r="I11">
        <v>2</v>
      </c>
      <c r="J11" s="3">
        <v>3049.52</v>
      </c>
      <c r="K11" s="3">
        <v>6099.04</v>
      </c>
      <c r="L11" s="3">
        <v>4448.1899999999996</v>
      </c>
      <c r="M11" s="3">
        <v>1650.85</v>
      </c>
      <c r="N11" t="s">
        <v>44</v>
      </c>
    </row>
    <row r="12" spans="1:14" x14ac:dyDescent="0.3">
      <c r="A12" t="s">
        <v>72</v>
      </c>
      <c r="B12" s="2">
        <v>45426</v>
      </c>
      <c r="C12" t="s">
        <v>51</v>
      </c>
      <c r="D12" t="s">
        <v>24</v>
      </c>
      <c r="E12" t="s">
        <v>47</v>
      </c>
      <c r="F12" t="s">
        <v>73</v>
      </c>
      <c r="G12" t="s">
        <v>34</v>
      </c>
      <c r="H12" t="s">
        <v>74</v>
      </c>
      <c r="I12">
        <v>5</v>
      </c>
      <c r="J12" s="3">
        <v>1597.93</v>
      </c>
      <c r="K12" s="3">
        <v>7989.65</v>
      </c>
      <c r="L12" s="3">
        <v>6640.65</v>
      </c>
      <c r="M12" s="3">
        <v>1349</v>
      </c>
      <c r="N12" t="s">
        <v>62</v>
      </c>
    </row>
    <row r="13" spans="1:14" x14ac:dyDescent="0.3">
      <c r="A13" t="s">
        <v>75</v>
      </c>
      <c r="B13" s="2">
        <v>45613</v>
      </c>
      <c r="C13" t="s">
        <v>76</v>
      </c>
      <c r="D13" t="s">
        <v>39</v>
      </c>
      <c r="E13" t="s">
        <v>70</v>
      </c>
      <c r="F13" t="s">
        <v>71</v>
      </c>
      <c r="G13" t="s">
        <v>19</v>
      </c>
      <c r="H13" t="s">
        <v>77</v>
      </c>
      <c r="I13">
        <v>4</v>
      </c>
      <c r="J13" s="3">
        <v>1223.01</v>
      </c>
      <c r="K13" s="3">
        <v>4892.04</v>
      </c>
      <c r="L13" s="3">
        <v>3784.53</v>
      </c>
      <c r="M13" s="3">
        <v>1107.51</v>
      </c>
      <c r="N13" t="s">
        <v>44</v>
      </c>
    </row>
    <row r="14" spans="1:14" x14ac:dyDescent="0.3">
      <c r="A14" t="s">
        <v>78</v>
      </c>
      <c r="B14" s="2">
        <v>45297</v>
      </c>
      <c r="C14" t="s">
        <v>79</v>
      </c>
      <c r="D14" t="s">
        <v>16</v>
      </c>
      <c r="E14" t="s">
        <v>80</v>
      </c>
      <c r="F14" t="s">
        <v>81</v>
      </c>
      <c r="G14" t="s">
        <v>82</v>
      </c>
      <c r="H14" t="s">
        <v>83</v>
      </c>
      <c r="I14">
        <v>1</v>
      </c>
      <c r="J14" s="3">
        <v>623.16</v>
      </c>
      <c r="K14" s="3">
        <v>623.16</v>
      </c>
      <c r="L14" s="3">
        <v>443.46</v>
      </c>
      <c r="M14" s="3">
        <v>179.7</v>
      </c>
      <c r="N14" t="s">
        <v>29</v>
      </c>
    </row>
    <row r="15" spans="1:14" x14ac:dyDescent="0.3">
      <c r="A15" t="s">
        <v>84</v>
      </c>
      <c r="B15" s="2">
        <v>45426</v>
      </c>
      <c r="C15" t="s">
        <v>38</v>
      </c>
      <c r="D15" t="s">
        <v>39</v>
      </c>
      <c r="E15" t="s">
        <v>52</v>
      </c>
      <c r="F15" t="s">
        <v>53</v>
      </c>
      <c r="G15" t="s">
        <v>82</v>
      </c>
      <c r="H15" t="s">
        <v>83</v>
      </c>
      <c r="I15">
        <v>6</v>
      </c>
      <c r="J15" s="3">
        <v>651</v>
      </c>
      <c r="K15" s="3">
        <v>3906</v>
      </c>
      <c r="L15" s="3">
        <v>2811.47</v>
      </c>
      <c r="M15" s="3">
        <v>1094.53</v>
      </c>
      <c r="N15" t="s">
        <v>62</v>
      </c>
    </row>
    <row r="16" spans="1:14" x14ac:dyDescent="0.3">
      <c r="A16" t="s">
        <v>85</v>
      </c>
      <c r="B16" s="2">
        <v>45568</v>
      </c>
      <c r="C16" t="s">
        <v>86</v>
      </c>
      <c r="D16" t="s">
        <v>16</v>
      </c>
      <c r="E16" t="s">
        <v>80</v>
      </c>
      <c r="F16" t="s">
        <v>81</v>
      </c>
      <c r="G16" t="s">
        <v>34</v>
      </c>
      <c r="H16" t="s">
        <v>87</v>
      </c>
      <c r="I16">
        <v>3</v>
      </c>
      <c r="J16" s="3">
        <v>753.02</v>
      </c>
      <c r="K16" s="3">
        <v>2259.06</v>
      </c>
      <c r="L16" s="3">
        <v>1911.92</v>
      </c>
      <c r="M16" s="3">
        <v>347.14</v>
      </c>
      <c r="N16" t="s">
        <v>62</v>
      </c>
    </row>
    <row r="17" spans="1:14" x14ac:dyDescent="0.3">
      <c r="A17" t="s">
        <v>88</v>
      </c>
      <c r="B17" s="2">
        <v>45321</v>
      </c>
      <c r="C17" t="s">
        <v>89</v>
      </c>
      <c r="D17" t="s">
        <v>39</v>
      </c>
      <c r="E17" t="s">
        <v>52</v>
      </c>
      <c r="F17" t="s">
        <v>53</v>
      </c>
      <c r="G17" t="s">
        <v>27</v>
      </c>
      <c r="H17" t="s">
        <v>61</v>
      </c>
      <c r="I17">
        <v>1</v>
      </c>
      <c r="J17" s="3">
        <v>4930.1899999999996</v>
      </c>
      <c r="K17" s="3">
        <v>4930.1899999999996</v>
      </c>
      <c r="L17" s="3">
        <v>3877.8</v>
      </c>
      <c r="M17" s="3">
        <v>1052.3900000000001</v>
      </c>
      <c r="N17" t="s">
        <v>62</v>
      </c>
    </row>
    <row r="18" spans="1:14" x14ac:dyDescent="0.3">
      <c r="A18" t="s">
        <v>90</v>
      </c>
      <c r="B18" s="2">
        <v>45629</v>
      </c>
      <c r="C18" t="s">
        <v>23</v>
      </c>
      <c r="D18" t="s">
        <v>24</v>
      </c>
      <c r="E18" t="s">
        <v>32</v>
      </c>
      <c r="F18" t="s">
        <v>33</v>
      </c>
      <c r="G18" t="s">
        <v>27</v>
      </c>
      <c r="H18" t="s">
        <v>91</v>
      </c>
      <c r="I18">
        <v>4</v>
      </c>
      <c r="J18" s="3">
        <v>3278.62</v>
      </c>
      <c r="K18" s="3">
        <v>13114.48</v>
      </c>
      <c r="L18" s="3">
        <v>11354.29</v>
      </c>
      <c r="M18" s="3">
        <v>1760.19</v>
      </c>
      <c r="N18" t="s">
        <v>29</v>
      </c>
    </row>
    <row r="19" spans="1:14" x14ac:dyDescent="0.3">
      <c r="A19" t="s">
        <v>92</v>
      </c>
      <c r="B19" s="2">
        <v>45451</v>
      </c>
      <c r="C19" t="s">
        <v>93</v>
      </c>
      <c r="D19" t="s">
        <v>24</v>
      </c>
      <c r="E19" t="s">
        <v>57</v>
      </c>
      <c r="F19" t="s">
        <v>58</v>
      </c>
      <c r="G19" t="s">
        <v>34</v>
      </c>
      <c r="H19" t="s">
        <v>94</v>
      </c>
      <c r="I19">
        <v>4</v>
      </c>
      <c r="J19" s="3">
        <v>1293.8800000000001</v>
      </c>
      <c r="K19" s="3">
        <v>5175.5200000000004</v>
      </c>
      <c r="L19" s="3">
        <v>3751.94</v>
      </c>
      <c r="M19" s="3">
        <v>1423.58</v>
      </c>
      <c r="N19" t="s">
        <v>21</v>
      </c>
    </row>
    <row r="20" spans="1:14" x14ac:dyDescent="0.3">
      <c r="A20" t="s">
        <v>95</v>
      </c>
      <c r="B20" s="2">
        <v>45593</v>
      </c>
      <c r="C20" t="s">
        <v>93</v>
      </c>
      <c r="D20" t="s">
        <v>39</v>
      </c>
      <c r="E20" t="s">
        <v>40</v>
      </c>
      <c r="F20" t="s">
        <v>41</v>
      </c>
      <c r="G20" t="s">
        <v>27</v>
      </c>
      <c r="H20" t="s">
        <v>68</v>
      </c>
      <c r="I20">
        <v>2</v>
      </c>
      <c r="J20" s="3">
        <v>16442.64</v>
      </c>
      <c r="K20" s="3">
        <v>32885.279999999999</v>
      </c>
      <c r="L20" s="3">
        <v>22568.6</v>
      </c>
      <c r="M20" s="3">
        <v>10316.68</v>
      </c>
      <c r="N20" t="s">
        <v>21</v>
      </c>
    </row>
    <row r="21" spans="1:14" x14ac:dyDescent="0.3">
      <c r="A21" t="s">
        <v>96</v>
      </c>
      <c r="B21" s="2">
        <v>45555</v>
      </c>
      <c r="C21" t="s">
        <v>64</v>
      </c>
      <c r="D21" t="s">
        <v>39</v>
      </c>
      <c r="E21" t="s">
        <v>97</v>
      </c>
      <c r="F21" t="s">
        <v>98</v>
      </c>
      <c r="G21" t="s">
        <v>19</v>
      </c>
      <c r="H21" t="s">
        <v>20</v>
      </c>
      <c r="I21">
        <v>5</v>
      </c>
      <c r="J21" s="3">
        <v>6022.01</v>
      </c>
      <c r="K21" s="3">
        <v>30110.05</v>
      </c>
      <c r="L21" s="3">
        <v>26108.51</v>
      </c>
      <c r="M21" s="3">
        <v>4001.54</v>
      </c>
      <c r="N21" t="s">
        <v>44</v>
      </c>
    </row>
    <row r="22" spans="1:14" x14ac:dyDescent="0.3">
      <c r="A22" t="s">
        <v>99</v>
      </c>
      <c r="B22" s="2">
        <v>45534</v>
      </c>
      <c r="C22" t="s">
        <v>31</v>
      </c>
      <c r="D22" t="s">
        <v>39</v>
      </c>
      <c r="E22" t="s">
        <v>70</v>
      </c>
      <c r="F22" t="s">
        <v>71</v>
      </c>
      <c r="G22" t="s">
        <v>82</v>
      </c>
      <c r="H22" t="s">
        <v>100</v>
      </c>
      <c r="I22">
        <v>1</v>
      </c>
      <c r="J22" s="3">
        <v>827.45</v>
      </c>
      <c r="K22" s="3">
        <v>827.45</v>
      </c>
      <c r="L22" s="3">
        <v>634</v>
      </c>
      <c r="M22" s="3">
        <v>193.45</v>
      </c>
      <c r="N22" t="s">
        <v>54</v>
      </c>
    </row>
    <row r="23" spans="1:14" x14ac:dyDescent="0.3">
      <c r="A23" t="s">
        <v>101</v>
      </c>
      <c r="B23" s="2">
        <v>45531</v>
      </c>
      <c r="C23" t="s">
        <v>102</v>
      </c>
      <c r="D23" t="s">
        <v>16</v>
      </c>
      <c r="E23" t="s">
        <v>17</v>
      </c>
      <c r="F23" t="s">
        <v>18</v>
      </c>
      <c r="G23" t="s">
        <v>27</v>
      </c>
      <c r="H23" t="s">
        <v>59</v>
      </c>
      <c r="I23">
        <v>1</v>
      </c>
      <c r="J23" s="3">
        <v>2374.33</v>
      </c>
      <c r="K23" s="3">
        <v>2374.33</v>
      </c>
      <c r="L23" s="3">
        <v>1704.87</v>
      </c>
      <c r="M23" s="3">
        <v>669.46</v>
      </c>
      <c r="N23" t="s">
        <v>62</v>
      </c>
    </row>
    <row r="24" spans="1:14" x14ac:dyDescent="0.3">
      <c r="A24" t="s">
        <v>103</v>
      </c>
      <c r="B24" s="2">
        <v>45508</v>
      </c>
      <c r="C24" t="s">
        <v>51</v>
      </c>
      <c r="D24" t="s">
        <v>39</v>
      </c>
      <c r="E24" t="s">
        <v>97</v>
      </c>
      <c r="F24" t="s">
        <v>98</v>
      </c>
      <c r="G24" t="s">
        <v>34</v>
      </c>
      <c r="H24" t="s">
        <v>87</v>
      </c>
      <c r="I24">
        <v>4</v>
      </c>
      <c r="J24" s="3">
        <v>743.12</v>
      </c>
      <c r="K24" s="3">
        <v>2972.48</v>
      </c>
      <c r="L24" s="3">
        <v>2530.16</v>
      </c>
      <c r="M24" s="3">
        <v>442.32</v>
      </c>
      <c r="N24" t="s">
        <v>21</v>
      </c>
    </row>
    <row r="25" spans="1:14" x14ac:dyDescent="0.3">
      <c r="A25" t="s">
        <v>104</v>
      </c>
      <c r="B25" s="2">
        <v>45625</v>
      </c>
      <c r="C25" t="s">
        <v>105</v>
      </c>
      <c r="D25" t="s">
        <v>16</v>
      </c>
      <c r="E25" t="s">
        <v>17</v>
      </c>
      <c r="F25" t="s">
        <v>18</v>
      </c>
      <c r="G25" t="s">
        <v>42</v>
      </c>
      <c r="H25" t="s">
        <v>106</v>
      </c>
      <c r="I25">
        <v>2</v>
      </c>
      <c r="J25" s="3">
        <v>883.15</v>
      </c>
      <c r="K25" s="3">
        <v>1766.3</v>
      </c>
      <c r="L25" s="3">
        <v>1371.13</v>
      </c>
      <c r="M25" s="3">
        <v>395.17</v>
      </c>
      <c r="N25" t="s">
        <v>21</v>
      </c>
    </row>
    <row r="26" spans="1:14" x14ac:dyDescent="0.3">
      <c r="A26" t="s">
        <v>107</v>
      </c>
      <c r="B26" s="2">
        <v>45376</v>
      </c>
      <c r="C26" t="s">
        <v>15</v>
      </c>
      <c r="D26" t="s">
        <v>24</v>
      </c>
      <c r="E26" t="s">
        <v>25</v>
      </c>
      <c r="F26" t="s">
        <v>26</v>
      </c>
      <c r="G26" t="s">
        <v>42</v>
      </c>
      <c r="H26" t="s">
        <v>43</v>
      </c>
      <c r="I26">
        <v>4</v>
      </c>
      <c r="J26" s="3">
        <v>2679.74</v>
      </c>
      <c r="K26" s="3">
        <v>10718.96</v>
      </c>
      <c r="L26" s="3">
        <v>8782.24</v>
      </c>
      <c r="M26" s="3">
        <v>1936.72</v>
      </c>
      <c r="N26" t="s">
        <v>29</v>
      </c>
    </row>
    <row r="27" spans="1:14" x14ac:dyDescent="0.3">
      <c r="A27" t="s">
        <v>108</v>
      </c>
      <c r="B27" s="2">
        <v>45541</v>
      </c>
      <c r="C27" t="s">
        <v>93</v>
      </c>
      <c r="D27" t="s">
        <v>39</v>
      </c>
      <c r="E27" t="s">
        <v>40</v>
      </c>
      <c r="F27" t="s">
        <v>41</v>
      </c>
      <c r="G27" t="s">
        <v>27</v>
      </c>
      <c r="H27" t="s">
        <v>68</v>
      </c>
      <c r="I27">
        <v>5</v>
      </c>
      <c r="J27" s="3">
        <v>18848.650000000001</v>
      </c>
      <c r="K27" s="3">
        <v>94243.25</v>
      </c>
      <c r="L27" s="3">
        <v>65234.38</v>
      </c>
      <c r="M27" s="3">
        <v>29008.87</v>
      </c>
      <c r="N27" t="s">
        <v>21</v>
      </c>
    </row>
    <row r="28" spans="1:14" x14ac:dyDescent="0.3">
      <c r="A28" t="s">
        <v>109</v>
      </c>
      <c r="B28" s="2">
        <v>45317</v>
      </c>
      <c r="C28" t="s">
        <v>56</v>
      </c>
      <c r="D28" t="s">
        <v>24</v>
      </c>
      <c r="E28" t="s">
        <v>32</v>
      </c>
      <c r="F28" t="s">
        <v>33</v>
      </c>
      <c r="G28" t="s">
        <v>27</v>
      </c>
      <c r="H28" t="s">
        <v>91</v>
      </c>
      <c r="I28">
        <v>1</v>
      </c>
      <c r="J28" s="3">
        <v>3210.81</v>
      </c>
      <c r="K28" s="3">
        <v>3210.81</v>
      </c>
      <c r="L28" s="3">
        <v>2227.35</v>
      </c>
      <c r="M28" s="3">
        <v>983.46</v>
      </c>
      <c r="N28" t="s">
        <v>29</v>
      </c>
    </row>
    <row r="29" spans="1:14" x14ac:dyDescent="0.3">
      <c r="A29" t="s">
        <v>110</v>
      </c>
      <c r="B29" s="2">
        <v>45412</v>
      </c>
      <c r="C29" t="s">
        <v>56</v>
      </c>
      <c r="D29" t="s">
        <v>24</v>
      </c>
      <c r="E29" t="s">
        <v>25</v>
      </c>
      <c r="F29" t="s">
        <v>26</v>
      </c>
      <c r="G29" t="s">
        <v>42</v>
      </c>
      <c r="H29" t="s">
        <v>111</v>
      </c>
      <c r="I29">
        <v>2</v>
      </c>
      <c r="J29" s="3">
        <v>1625.25</v>
      </c>
      <c r="K29" s="3">
        <v>3250.5</v>
      </c>
      <c r="L29" s="3">
        <v>2236.1799999999998</v>
      </c>
      <c r="M29" s="3">
        <v>1014.32</v>
      </c>
      <c r="N29" t="s">
        <v>54</v>
      </c>
    </row>
    <row r="30" spans="1:14" x14ac:dyDescent="0.3">
      <c r="A30" t="s">
        <v>112</v>
      </c>
      <c r="B30" s="2">
        <v>45628</v>
      </c>
      <c r="C30" t="s">
        <v>86</v>
      </c>
      <c r="D30" t="s">
        <v>65</v>
      </c>
      <c r="E30" t="s">
        <v>113</v>
      </c>
      <c r="F30" t="s">
        <v>114</v>
      </c>
      <c r="G30" t="s">
        <v>27</v>
      </c>
      <c r="H30" t="s">
        <v>59</v>
      </c>
      <c r="I30">
        <v>2</v>
      </c>
      <c r="J30" s="3">
        <v>2382.81</v>
      </c>
      <c r="K30" s="3">
        <v>4765.62</v>
      </c>
      <c r="L30" s="3">
        <v>3365.36</v>
      </c>
      <c r="M30" s="3">
        <v>1400.26</v>
      </c>
      <c r="N30" t="s">
        <v>54</v>
      </c>
    </row>
    <row r="31" spans="1:14" x14ac:dyDescent="0.3">
      <c r="A31" t="s">
        <v>115</v>
      </c>
      <c r="B31" s="2">
        <v>45453</v>
      </c>
      <c r="C31" t="s">
        <v>76</v>
      </c>
      <c r="D31" t="s">
        <v>16</v>
      </c>
      <c r="E31" t="s">
        <v>17</v>
      </c>
      <c r="F31" t="s">
        <v>18</v>
      </c>
      <c r="G31" t="s">
        <v>34</v>
      </c>
      <c r="H31" t="s">
        <v>94</v>
      </c>
      <c r="I31">
        <v>1</v>
      </c>
      <c r="J31" s="3">
        <v>1280.51</v>
      </c>
      <c r="K31" s="3">
        <v>1280.51</v>
      </c>
      <c r="L31" s="3">
        <v>925.34</v>
      </c>
      <c r="M31" s="3">
        <v>355.17</v>
      </c>
      <c r="N31" t="s">
        <v>62</v>
      </c>
    </row>
    <row r="32" spans="1:14" x14ac:dyDescent="0.3">
      <c r="A32" t="s">
        <v>116</v>
      </c>
      <c r="B32" s="2">
        <v>45470</v>
      </c>
      <c r="C32" t="s">
        <v>46</v>
      </c>
      <c r="D32" t="s">
        <v>16</v>
      </c>
      <c r="E32" t="s">
        <v>117</v>
      </c>
      <c r="F32" t="s">
        <v>118</v>
      </c>
      <c r="G32" t="s">
        <v>34</v>
      </c>
      <c r="H32" t="s">
        <v>74</v>
      </c>
      <c r="I32">
        <v>4</v>
      </c>
      <c r="J32" s="3">
        <v>1706.8</v>
      </c>
      <c r="K32" s="3">
        <v>6827.2</v>
      </c>
      <c r="L32" s="3">
        <v>5603.14</v>
      </c>
      <c r="M32" s="3">
        <v>1224.06</v>
      </c>
      <c r="N32" t="s">
        <v>29</v>
      </c>
    </row>
    <row r="33" spans="1:14" x14ac:dyDescent="0.3">
      <c r="A33" t="s">
        <v>119</v>
      </c>
      <c r="B33" s="2">
        <v>45562</v>
      </c>
      <c r="C33" t="s">
        <v>15</v>
      </c>
      <c r="D33" t="s">
        <v>16</v>
      </c>
      <c r="E33" t="s">
        <v>80</v>
      </c>
      <c r="F33" t="s">
        <v>81</v>
      </c>
      <c r="G33" t="s">
        <v>42</v>
      </c>
      <c r="H33" t="s">
        <v>120</v>
      </c>
      <c r="I33">
        <v>2</v>
      </c>
      <c r="J33" s="3">
        <v>2096.37</v>
      </c>
      <c r="K33" s="3">
        <v>4192.74</v>
      </c>
      <c r="L33" s="3">
        <v>3597.13</v>
      </c>
      <c r="M33" s="3">
        <v>595.61</v>
      </c>
      <c r="N33" t="s">
        <v>62</v>
      </c>
    </row>
    <row r="34" spans="1:14" x14ac:dyDescent="0.3">
      <c r="A34" t="s">
        <v>121</v>
      </c>
      <c r="B34" s="2">
        <v>45431</v>
      </c>
      <c r="C34" t="s">
        <v>122</v>
      </c>
      <c r="D34" t="s">
        <v>65</v>
      </c>
      <c r="E34" t="s">
        <v>123</v>
      </c>
      <c r="F34" t="s">
        <v>124</v>
      </c>
      <c r="G34" t="s">
        <v>19</v>
      </c>
      <c r="H34" t="s">
        <v>20</v>
      </c>
      <c r="I34">
        <v>6</v>
      </c>
      <c r="J34" s="3">
        <v>6674.51</v>
      </c>
      <c r="K34" s="3">
        <v>40047.06</v>
      </c>
      <c r="L34" s="3">
        <v>29346.36</v>
      </c>
      <c r="M34" s="3">
        <v>10700.7</v>
      </c>
      <c r="N34" t="s">
        <v>36</v>
      </c>
    </row>
    <row r="35" spans="1:14" x14ac:dyDescent="0.3">
      <c r="A35" t="s">
        <v>125</v>
      </c>
      <c r="B35" s="2">
        <v>45318</v>
      </c>
      <c r="C35" t="s">
        <v>76</v>
      </c>
      <c r="D35" t="s">
        <v>16</v>
      </c>
      <c r="E35" t="s">
        <v>47</v>
      </c>
      <c r="F35" t="s">
        <v>48</v>
      </c>
      <c r="G35" t="s">
        <v>82</v>
      </c>
      <c r="H35" t="s">
        <v>126</v>
      </c>
      <c r="I35">
        <v>1</v>
      </c>
      <c r="J35" s="3">
        <v>435.02</v>
      </c>
      <c r="K35" s="3">
        <v>435.02</v>
      </c>
      <c r="L35" s="3">
        <v>307.2</v>
      </c>
      <c r="M35" s="3">
        <v>127.82</v>
      </c>
      <c r="N35" t="s">
        <v>62</v>
      </c>
    </row>
    <row r="36" spans="1:14" x14ac:dyDescent="0.3">
      <c r="A36" t="s">
        <v>127</v>
      </c>
      <c r="B36" s="2">
        <v>45518</v>
      </c>
      <c r="C36" t="s">
        <v>15</v>
      </c>
      <c r="D36" t="s">
        <v>24</v>
      </c>
      <c r="E36" t="s">
        <v>25</v>
      </c>
      <c r="F36" t="s">
        <v>26</v>
      </c>
      <c r="G36" t="s">
        <v>27</v>
      </c>
      <c r="H36" t="s">
        <v>28</v>
      </c>
      <c r="I36">
        <v>5</v>
      </c>
      <c r="J36" s="3">
        <v>49896.31</v>
      </c>
      <c r="K36" s="3">
        <v>249481.55</v>
      </c>
      <c r="L36" s="3">
        <v>188069.97</v>
      </c>
      <c r="M36" s="3">
        <v>61411.58</v>
      </c>
      <c r="N36" t="s">
        <v>62</v>
      </c>
    </row>
    <row r="37" spans="1:14" x14ac:dyDescent="0.3">
      <c r="A37" t="s">
        <v>128</v>
      </c>
      <c r="B37" s="2">
        <v>45512</v>
      </c>
      <c r="C37" t="s">
        <v>51</v>
      </c>
      <c r="D37" t="s">
        <v>39</v>
      </c>
      <c r="E37" t="s">
        <v>52</v>
      </c>
      <c r="F37" t="s">
        <v>53</v>
      </c>
      <c r="G37" t="s">
        <v>34</v>
      </c>
      <c r="H37" t="s">
        <v>87</v>
      </c>
      <c r="I37">
        <v>3</v>
      </c>
      <c r="J37" s="3">
        <v>659.41</v>
      </c>
      <c r="K37" s="3">
        <v>1978.23</v>
      </c>
      <c r="L37" s="3">
        <v>1443.92</v>
      </c>
      <c r="M37" s="3">
        <v>534.30999999999995</v>
      </c>
      <c r="N37" t="s">
        <v>36</v>
      </c>
    </row>
    <row r="38" spans="1:14" x14ac:dyDescent="0.3">
      <c r="A38" t="s">
        <v>129</v>
      </c>
      <c r="B38" s="2">
        <v>45578</v>
      </c>
      <c r="C38" t="s">
        <v>31</v>
      </c>
      <c r="D38" t="s">
        <v>24</v>
      </c>
      <c r="E38" t="s">
        <v>32</v>
      </c>
      <c r="F38" t="s">
        <v>33</v>
      </c>
      <c r="G38" t="s">
        <v>42</v>
      </c>
      <c r="H38" t="s">
        <v>106</v>
      </c>
      <c r="I38">
        <v>2</v>
      </c>
      <c r="J38" s="3">
        <v>985.72</v>
      </c>
      <c r="K38" s="3">
        <v>1971.44</v>
      </c>
      <c r="L38" s="3">
        <v>1660.26</v>
      </c>
      <c r="M38" s="3">
        <v>311.18</v>
      </c>
      <c r="N38" t="s">
        <v>21</v>
      </c>
    </row>
    <row r="39" spans="1:14" x14ac:dyDescent="0.3">
      <c r="A39" t="s">
        <v>130</v>
      </c>
      <c r="B39" s="2">
        <v>45383</v>
      </c>
      <c r="C39" t="s">
        <v>105</v>
      </c>
      <c r="D39" t="s">
        <v>65</v>
      </c>
      <c r="E39" t="s">
        <v>131</v>
      </c>
      <c r="F39" t="s">
        <v>132</v>
      </c>
      <c r="G39" t="s">
        <v>82</v>
      </c>
      <c r="H39" t="s">
        <v>100</v>
      </c>
      <c r="I39">
        <v>3</v>
      </c>
      <c r="J39" s="3">
        <v>838.66</v>
      </c>
      <c r="K39" s="3">
        <v>2515.98</v>
      </c>
      <c r="L39" s="3">
        <v>2063.75</v>
      </c>
      <c r="M39" s="3">
        <v>452.23</v>
      </c>
      <c r="N39" t="s">
        <v>21</v>
      </c>
    </row>
    <row r="40" spans="1:14" x14ac:dyDescent="0.3">
      <c r="A40" t="s">
        <v>133</v>
      </c>
      <c r="B40" s="2">
        <v>45532</v>
      </c>
      <c r="C40" t="s">
        <v>134</v>
      </c>
      <c r="D40" t="s">
        <v>39</v>
      </c>
      <c r="E40" t="s">
        <v>40</v>
      </c>
      <c r="F40" t="s">
        <v>41</v>
      </c>
      <c r="G40" t="s">
        <v>82</v>
      </c>
      <c r="H40" t="s">
        <v>135</v>
      </c>
      <c r="I40">
        <v>3</v>
      </c>
      <c r="J40" s="3">
        <v>528.57000000000005</v>
      </c>
      <c r="K40" s="3">
        <v>1585.71</v>
      </c>
      <c r="L40" s="3">
        <v>1330.52</v>
      </c>
      <c r="M40" s="3">
        <v>255.19</v>
      </c>
      <c r="N40" t="s">
        <v>62</v>
      </c>
    </row>
    <row r="41" spans="1:14" x14ac:dyDescent="0.3">
      <c r="A41" t="s">
        <v>136</v>
      </c>
      <c r="B41" s="2">
        <v>45304</v>
      </c>
      <c r="C41" t="s">
        <v>15</v>
      </c>
      <c r="D41" t="s">
        <v>39</v>
      </c>
      <c r="E41" t="s">
        <v>70</v>
      </c>
      <c r="F41" t="s">
        <v>71</v>
      </c>
      <c r="G41" t="s">
        <v>34</v>
      </c>
      <c r="H41" t="s">
        <v>87</v>
      </c>
      <c r="I41">
        <v>3</v>
      </c>
      <c r="J41" s="3">
        <v>679.16</v>
      </c>
      <c r="K41" s="3">
        <v>2037.48</v>
      </c>
      <c r="L41" s="3">
        <v>1593.07</v>
      </c>
      <c r="M41" s="3">
        <v>444.41</v>
      </c>
      <c r="N41" t="s">
        <v>36</v>
      </c>
    </row>
    <row r="42" spans="1:14" x14ac:dyDescent="0.3">
      <c r="A42" t="s">
        <v>137</v>
      </c>
      <c r="B42" s="2">
        <v>45306</v>
      </c>
      <c r="C42" t="s">
        <v>93</v>
      </c>
      <c r="D42" t="s">
        <v>16</v>
      </c>
      <c r="E42" t="s">
        <v>80</v>
      </c>
      <c r="F42" t="s">
        <v>81</v>
      </c>
      <c r="G42" t="s">
        <v>27</v>
      </c>
      <c r="H42" t="s">
        <v>59</v>
      </c>
      <c r="I42">
        <v>1</v>
      </c>
      <c r="J42" s="3">
        <v>2304.1999999999998</v>
      </c>
      <c r="K42" s="3">
        <v>2304.1999999999998</v>
      </c>
      <c r="L42" s="3">
        <v>1767.12</v>
      </c>
      <c r="M42" s="3">
        <v>537.08000000000004</v>
      </c>
      <c r="N42" t="s">
        <v>54</v>
      </c>
    </row>
    <row r="43" spans="1:14" x14ac:dyDescent="0.3">
      <c r="A43" t="s">
        <v>138</v>
      </c>
      <c r="B43" s="2">
        <v>45602</v>
      </c>
      <c r="C43" t="s">
        <v>139</v>
      </c>
      <c r="D43" t="s">
        <v>16</v>
      </c>
      <c r="E43" t="s">
        <v>47</v>
      </c>
      <c r="F43" t="s">
        <v>48</v>
      </c>
      <c r="G43" t="s">
        <v>82</v>
      </c>
      <c r="H43" t="s">
        <v>100</v>
      </c>
      <c r="I43">
        <v>3</v>
      </c>
      <c r="J43" s="3">
        <v>817.99</v>
      </c>
      <c r="K43" s="3">
        <v>2453.9699999999998</v>
      </c>
      <c r="L43" s="3">
        <v>1882.71</v>
      </c>
      <c r="M43" s="3">
        <v>571.26</v>
      </c>
      <c r="N43" t="s">
        <v>44</v>
      </c>
    </row>
    <row r="44" spans="1:14" x14ac:dyDescent="0.3">
      <c r="A44" t="s">
        <v>140</v>
      </c>
      <c r="B44" s="2">
        <v>45643</v>
      </c>
      <c r="C44" t="s">
        <v>86</v>
      </c>
      <c r="D44" t="s">
        <v>39</v>
      </c>
      <c r="E44" t="s">
        <v>97</v>
      </c>
      <c r="F44" t="s">
        <v>98</v>
      </c>
      <c r="G44" t="s">
        <v>34</v>
      </c>
      <c r="H44" t="s">
        <v>35</v>
      </c>
      <c r="I44">
        <v>5</v>
      </c>
      <c r="J44" s="3">
        <v>2406.96</v>
      </c>
      <c r="K44" s="3">
        <v>12034.8</v>
      </c>
      <c r="L44" s="3">
        <v>10224.799999999999</v>
      </c>
      <c r="M44" s="3">
        <v>1810</v>
      </c>
      <c r="N44" t="s">
        <v>44</v>
      </c>
    </row>
    <row r="45" spans="1:14" x14ac:dyDescent="0.3">
      <c r="A45" t="s">
        <v>141</v>
      </c>
      <c r="B45" s="2">
        <v>45450</v>
      </c>
      <c r="C45" t="s">
        <v>105</v>
      </c>
      <c r="D45" t="s">
        <v>24</v>
      </c>
      <c r="E45" t="s">
        <v>57</v>
      </c>
      <c r="F45" t="s">
        <v>58</v>
      </c>
      <c r="G45" t="s">
        <v>34</v>
      </c>
      <c r="H45" t="s">
        <v>35</v>
      </c>
      <c r="I45">
        <v>5</v>
      </c>
      <c r="J45" s="3">
        <v>2313.64</v>
      </c>
      <c r="K45" s="3">
        <v>11568.2</v>
      </c>
      <c r="L45" s="3">
        <v>8839.14</v>
      </c>
      <c r="M45" s="3">
        <v>2729.06</v>
      </c>
      <c r="N45" t="s">
        <v>29</v>
      </c>
    </row>
    <row r="46" spans="1:14" x14ac:dyDescent="0.3">
      <c r="A46" t="s">
        <v>142</v>
      </c>
      <c r="B46" s="2">
        <v>45381</v>
      </c>
      <c r="C46" t="s">
        <v>64</v>
      </c>
      <c r="D46" t="s">
        <v>65</v>
      </c>
      <c r="E46" t="s">
        <v>131</v>
      </c>
      <c r="F46" t="s">
        <v>132</v>
      </c>
      <c r="G46" t="s">
        <v>34</v>
      </c>
      <c r="H46" t="s">
        <v>87</v>
      </c>
      <c r="I46">
        <v>3</v>
      </c>
      <c r="J46" s="3">
        <v>670.17</v>
      </c>
      <c r="K46" s="3">
        <v>2010.51</v>
      </c>
      <c r="L46" s="3">
        <v>1540.01</v>
      </c>
      <c r="M46" s="3">
        <v>470.5</v>
      </c>
      <c r="N46" t="s">
        <v>44</v>
      </c>
    </row>
    <row r="47" spans="1:14" x14ac:dyDescent="0.3">
      <c r="A47" t="s">
        <v>143</v>
      </c>
      <c r="B47" s="2">
        <v>45627</v>
      </c>
      <c r="C47" t="s">
        <v>144</v>
      </c>
      <c r="D47" t="s">
        <v>65</v>
      </c>
      <c r="E47" t="s">
        <v>131</v>
      </c>
      <c r="F47" t="s">
        <v>132</v>
      </c>
      <c r="G47" t="s">
        <v>34</v>
      </c>
      <c r="H47" t="s">
        <v>74</v>
      </c>
      <c r="I47">
        <v>5</v>
      </c>
      <c r="J47" s="3">
        <v>1591.42</v>
      </c>
      <c r="K47" s="3">
        <v>7957.1</v>
      </c>
      <c r="L47" s="3">
        <v>6844.99</v>
      </c>
      <c r="M47" s="3">
        <v>1112.1099999999999</v>
      </c>
      <c r="N47" t="s">
        <v>29</v>
      </c>
    </row>
    <row r="48" spans="1:14" x14ac:dyDescent="0.3">
      <c r="A48" t="s">
        <v>145</v>
      </c>
      <c r="B48" s="2">
        <v>45335</v>
      </c>
      <c r="C48" t="s">
        <v>89</v>
      </c>
      <c r="D48" t="s">
        <v>65</v>
      </c>
      <c r="E48" t="s">
        <v>113</v>
      </c>
      <c r="F48" t="s">
        <v>114</v>
      </c>
      <c r="G48" t="s">
        <v>27</v>
      </c>
      <c r="H48" t="s">
        <v>28</v>
      </c>
      <c r="I48">
        <v>6</v>
      </c>
      <c r="J48" s="3">
        <v>52914.61</v>
      </c>
      <c r="K48" s="3">
        <v>317487.65999999997</v>
      </c>
      <c r="L48" s="3">
        <v>267106.36</v>
      </c>
      <c r="M48" s="3">
        <v>50381.3</v>
      </c>
      <c r="N48" t="s">
        <v>21</v>
      </c>
    </row>
    <row r="49" spans="1:14" x14ac:dyDescent="0.3">
      <c r="A49" t="s">
        <v>146</v>
      </c>
      <c r="B49" s="2">
        <v>45315</v>
      </c>
      <c r="C49" t="s">
        <v>23</v>
      </c>
      <c r="D49" t="s">
        <v>39</v>
      </c>
      <c r="E49" t="s">
        <v>70</v>
      </c>
      <c r="F49" t="s">
        <v>71</v>
      </c>
      <c r="G49" t="s">
        <v>19</v>
      </c>
      <c r="H49" t="s">
        <v>147</v>
      </c>
      <c r="I49">
        <v>4</v>
      </c>
      <c r="J49" s="3">
        <v>2752.09</v>
      </c>
      <c r="K49" s="3">
        <v>11008.36</v>
      </c>
      <c r="L49" s="3">
        <v>8872.2199999999993</v>
      </c>
      <c r="M49" s="3">
        <v>2136.14</v>
      </c>
      <c r="N49" t="s">
        <v>29</v>
      </c>
    </row>
    <row r="50" spans="1:14" x14ac:dyDescent="0.3">
      <c r="A50" t="s">
        <v>148</v>
      </c>
      <c r="B50" s="2">
        <v>45648</v>
      </c>
      <c r="C50" t="s">
        <v>51</v>
      </c>
      <c r="D50" t="s">
        <v>24</v>
      </c>
      <c r="E50" t="s">
        <v>47</v>
      </c>
      <c r="F50" t="s">
        <v>73</v>
      </c>
      <c r="G50" t="s">
        <v>34</v>
      </c>
      <c r="H50" t="s">
        <v>74</v>
      </c>
      <c r="I50">
        <v>6</v>
      </c>
      <c r="J50" s="3">
        <v>1660.04</v>
      </c>
      <c r="K50" s="3">
        <v>9960.24</v>
      </c>
      <c r="L50" s="3">
        <v>8551.18</v>
      </c>
      <c r="M50" s="3">
        <v>1409.06</v>
      </c>
      <c r="N50" t="s">
        <v>54</v>
      </c>
    </row>
    <row r="51" spans="1:14" x14ac:dyDescent="0.3">
      <c r="A51" t="s">
        <v>149</v>
      </c>
      <c r="B51" s="2">
        <v>45404</v>
      </c>
      <c r="C51" t="s">
        <v>139</v>
      </c>
      <c r="D51" t="s">
        <v>39</v>
      </c>
      <c r="E51" t="s">
        <v>70</v>
      </c>
      <c r="F51" t="s">
        <v>71</v>
      </c>
      <c r="G51" t="s">
        <v>27</v>
      </c>
      <c r="H51" t="s">
        <v>28</v>
      </c>
      <c r="I51">
        <v>1</v>
      </c>
      <c r="J51" s="3">
        <v>54521.08</v>
      </c>
      <c r="K51" s="3">
        <v>54521.08</v>
      </c>
      <c r="L51" s="3">
        <v>45813.15</v>
      </c>
      <c r="M51" s="3">
        <v>8707.93</v>
      </c>
      <c r="N51" t="s">
        <v>44</v>
      </c>
    </row>
    <row r="52" spans="1:14" x14ac:dyDescent="0.3">
      <c r="A52" t="s">
        <v>150</v>
      </c>
      <c r="B52" s="2">
        <v>45596</v>
      </c>
      <c r="C52" t="s">
        <v>144</v>
      </c>
      <c r="D52" t="s">
        <v>65</v>
      </c>
      <c r="E52" t="s">
        <v>131</v>
      </c>
      <c r="F52" t="s">
        <v>132</v>
      </c>
      <c r="G52" t="s">
        <v>19</v>
      </c>
      <c r="H52" t="s">
        <v>151</v>
      </c>
      <c r="I52">
        <v>4</v>
      </c>
      <c r="J52" s="3">
        <v>639.66999999999996</v>
      </c>
      <c r="K52" s="3">
        <v>2558.6799999999998</v>
      </c>
      <c r="L52" s="3">
        <v>2020.27</v>
      </c>
      <c r="M52" s="3">
        <v>538.41</v>
      </c>
      <c r="N52" t="s">
        <v>29</v>
      </c>
    </row>
    <row r="53" spans="1:14" x14ac:dyDescent="0.3">
      <c r="A53" t="s">
        <v>152</v>
      </c>
      <c r="B53" s="2">
        <v>45535</v>
      </c>
      <c r="C53" t="s">
        <v>102</v>
      </c>
      <c r="D53" t="s">
        <v>24</v>
      </c>
      <c r="E53" t="s">
        <v>57</v>
      </c>
      <c r="F53" t="s">
        <v>58</v>
      </c>
      <c r="G53" t="s">
        <v>82</v>
      </c>
      <c r="H53" t="s">
        <v>83</v>
      </c>
      <c r="I53">
        <v>5</v>
      </c>
      <c r="J53" s="3">
        <v>648</v>
      </c>
      <c r="K53" s="3">
        <v>3240</v>
      </c>
      <c r="L53" s="3">
        <v>2358.23</v>
      </c>
      <c r="M53" s="3">
        <v>881.77</v>
      </c>
      <c r="N53" t="s">
        <v>21</v>
      </c>
    </row>
    <row r="54" spans="1:14" x14ac:dyDescent="0.3">
      <c r="A54" t="s">
        <v>153</v>
      </c>
      <c r="B54" s="2">
        <v>45657</v>
      </c>
      <c r="C54" t="s">
        <v>105</v>
      </c>
      <c r="D54" t="s">
        <v>65</v>
      </c>
      <c r="E54" t="s">
        <v>123</v>
      </c>
      <c r="F54" t="s">
        <v>124</v>
      </c>
      <c r="G54" t="s">
        <v>27</v>
      </c>
      <c r="H54" t="s">
        <v>59</v>
      </c>
      <c r="I54">
        <v>5</v>
      </c>
      <c r="J54" s="3">
        <v>2290.29</v>
      </c>
      <c r="K54" s="3">
        <v>11451.45</v>
      </c>
      <c r="L54" s="3">
        <v>8132.43</v>
      </c>
      <c r="M54" s="3">
        <v>3319.02</v>
      </c>
      <c r="N54" t="s">
        <v>29</v>
      </c>
    </row>
    <row r="55" spans="1:14" x14ac:dyDescent="0.3">
      <c r="A55" t="s">
        <v>154</v>
      </c>
      <c r="B55" s="2">
        <v>45370</v>
      </c>
      <c r="C55" t="s">
        <v>31</v>
      </c>
      <c r="D55" t="s">
        <v>39</v>
      </c>
      <c r="E55" t="s">
        <v>52</v>
      </c>
      <c r="F55" t="s">
        <v>53</v>
      </c>
      <c r="G55" t="s">
        <v>34</v>
      </c>
      <c r="H55" t="s">
        <v>35</v>
      </c>
      <c r="I55">
        <v>5</v>
      </c>
      <c r="J55" s="3">
        <v>2482.96</v>
      </c>
      <c r="K55" s="3">
        <v>12414.8</v>
      </c>
      <c r="L55" s="3">
        <v>8596.67</v>
      </c>
      <c r="M55" s="3">
        <v>3818.13</v>
      </c>
      <c r="N55" t="s">
        <v>54</v>
      </c>
    </row>
    <row r="56" spans="1:14" x14ac:dyDescent="0.3">
      <c r="A56" t="s">
        <v>155</v>
      </c>
      <c r="B56" s="2">
        <v>45591</v>
      </c>
      <c r="C56" t="s">
        <v>31</v>
      </c>
      <c r="D56" t="s">
        <v>16</v>
      </c>
      <c r="E56" t="s">
        <v>47</v>
      </c>
      <c r="F56" t="s">
        <v>48</v>
      </c>
      <c r="G56" t="s">
        <v>34</v>
      </c>
      <c r="H56" t="s">
        <v>35</v>
      </c>
      <c r="I56">
        <v>3</v>
      </c>
      <c r="J56" s="3">
        <v>2626.74</v>
      </c>
      <c r="K56" s="3">
        <v>7880.22</v>
      </c>
      <c r="L56" s="3">
        <v>6703.62</v>
      </c>
      <c r="M56" s="3">
        <v>1176.5999999999999</v>
      </c>
      <c r="N56" t="s">
        <v>44</v>
      </c>
    </row>
    <row r="57" spans="1:14" x14ac:dyDescent="0.3">
      <c r="A57" t="s">
        <v>156</v>
      </c>
      <c r="B57" s="2">
        <v>45571</v>
      </c>
      <c r="C57" t="s">
        <v>105</v>
      </c>
      <c r="D57" t="s">
        <v>39</v>
      </c>
      <c r="E57" t="s">
        <v>70</v>
      </c>
      <c r="F57" t="s">
        <v>71</v>
      </c>
      <c r="G57" t="s">
        <v>27</v>
      </c>
      <c r="H57" t="s">
        <v>61</v>
      </c>
      <c r="I57">
        <v>4</v>
      </c>
      <c r="J57" s="3">
        <v>4076.12</v>
      </c>
      <c r="K57" s="3">
        <v>16304.48</v>
      </c>
      <c r="L57" s="3">
        <v>12183.13</v>
      </c>
      <c r="M57" s="3">
        <v>4121.3500000000004</v>
      </c>
      <c r="N57" t="s">
        <v>29</v>
      </c>
    </row>
    <row r="58" spans="1:14" x14ac:dyDescent="0.3">
      <c r="A58" t="s">
        <v>157</v>
      </c>
      <c r="B58" s="2">
        <v>45376</v>
      </c>
      <c r="C58" t="s">
        <v>79</v>
      </c>
      <c r="D58" t="s">
        <v>24</v>
      </c>
      <c r="E58" t="s">
        <v>32</v>
      </c>
      <c r="F58" t="s">
        <v>33</v>
      </c>
      <c r="G58" t="s">
        <v>42</v>
      </c>
      <c r="H58" t="s">
        <v>111</v>
      </c>
      <c r="I58">
        <v>1</v>
      </c>
      <c r="J58" s="3">
        <v>1730.22</v>
      </c>
      <c r="K58" s="3">
        <v>1730.22</v>
      </c>
      <c r="L58" s="3">
        <v>1381.37</v>
      </c>
      <c r="M58" s="3">
        <v>348.85</v>
      </c>
      <c r="N58" t="s">
        <v>21</v>
      </c>
    </row>
    <row r="59" spans="1:14" x14ac:dyDescent="0.3">
      <c r="A59" t="s">
        <v>158</v>
      </c>
      <c r="B59" s="2">
        <v>45621</v>
      </c>
      <c r="C59" t="s">
        <v>102</v>
      </c>
      <c r="D59" t="s">
        <v>24</v>
      </c>
      <c r="E59" t="s">
        <v>32</v>
      </c>
      <c r="F59" t="s">
        <v>33</v>
      </c>
      <c r="G59" t="s">
        <v>82</v>
      </c>
      <c r="H59" t="s">
        <v>100</v>
      </c>
      <c r="I59">
        <v>1</v>
      </c>
      <c r="J59" s="3">
        <v>856.83</v>
      </c>
      <c r="K59" s="3">
        <v>856.83</v>
      </c>
      <c r="L59" s="3">
        <v>638.74</v>
      </c>
      <c r="M59" s="3">
        <v>218.09</v>
      </c>
      <c r="N59" t="s">
        <v>36</v>
      </c>
    </row>
    <row r="60" spans="1:14" x14ac:dyDescent="0.3">
      <c r="A60" t="s">
        <v>159</v>
      </c>
      <c r="B60" s="2">
        <v>45464</v>
      </c>
      <c r="C60" t="s">
        <v>15</v>
      </c>
      <c r="D60" t="s">
        <v>24</v>
      </c>
      <c r="E60" t="s">
        <v>57</v>
      </c>
      <c r="F60" t="s">
        <v>58</v>
      </c>
      <c r="G60" t="s">
        <v>82</v>
      </c>
      <c r="H60" t="s">
        <v>135</v>
      </c>
      <c r="I60">
        <v>3</v>
      </c>
      <c r="J60" s="3">
        <v>586.84</v>
      </c>
      <c r="K60" s="3">
        <v>1760.52</v>
      </c>
      <c r="L60" s="3">
        <v>1362.75</v>
      </c>
      <c r="M60" s="3">
        <v>397.77</v>
      </c>
      <c r="N60" t="s">
        <v>21</v>
      </c>
    </row>
    <row r="61" spans="1:14" x14ac:dyDescent="0.3">
      <c r="A61" t="s">
        <v>160</v>
      </c>
      <c r="B61" s="2">
        <v>45471</v>
      </c>
      <c r="C61" t="s">
        <v>79</v>
      </c>
      <c r="D61" t="s">
        <v>39</v>
      </c>
      <c r="E61" t="s">
        <v>52</v>
      </c>
      <c r="F61" t="s">
        <v>53</v>
      </c>
      <c r="G61" t="s">
        <v>82</v>
      </c>
      <c r="H61" t="s">
        <v>126</v>
      </c>
      <c r="I61">
        <v>1</v>
      </c>
      <c r="J61" s="3">
        <v>490.47</v>
      </c>
      <c r="K61" s="3">
        <v>490.47</v>
      </c>
      <c r="L61" s="3">
        <v>353.08</v>
      </c>
      <c r="M61" s="3">
        <v>137.38999999999999</v>
      </c>
      <c r="N61" t="s">
        <v>44</v>
      </c>
    </row>
    <row r="62" spans="1:14" x14ac:dyDescent="0.3">
      <c r="A62" t="s">
        <v>161</v>
      </c>
      <c r="B62" s="2">
        <v>45370</v>
      </c>
      <c r="C62" t="s">
        <v>76</v>
      </c>
      <c r="D62" t="s">
        <v>39</v>
      </c>
      <c r="E62" t="s">
        <v>40</v>
      </c>
      <c r="F62" t="s">
        <v>41</v>
      </c>
      <c r="G62" t="s">
        <v>34</v>
      </c>
      <c r="H62" t="s">
        <v>87</v>
      </c>
      <c r="I62">
        <v>5</v>
      </c>
      <c r="J62" s="3">
        <v>762.69</v>
      </c>
      <c r="K62" s="3">
        <v>3813.45</v>
      </c>
      <c r="L62" s="3">
        <v>2947.82</v>
      </c>
      <c r="M62" s="3">
        <v>865.63</v>
      </c>
      <c r="N62" t="s">
        <v>36</v>
      </c>
    </row>
    <row r="63" spans="1:14" x14ac:dyDescent="0.3">
      <c r="A63" t="s">
        <v>162</v>
      </c>
      <c r="B63" s="2">
        <v>45377</v>
      </c>
      <c r="C63" t="s">
        <v>105</v>
      </c>
      <c r="D63" t="s">
        <v>16</v>
      </c>
      <c r="E63" t="s">
        <v>117</v>
      </c>
      <c r="F63" t="s">
        <v>118</v>
      </c>
      <c r="G63" t="s">
        <v>42</v>
      </c>
      <c r="H63" t="s">
        <v>120</v>
      </c>
      <c r="I63">
        <v>5</v>
      </c>
      <c r="J63" s="3">
        <v>1991.3</v>
      </c>
      <c r="K63" s="3">
        <v>9956.5</v>
      </c>
      <c r="L63" s="3">
        <v>7391.62</v>
      </c>
      <c r="M63" s="3">
        <v>2564.88</v>
      </c>
      <c r="N63" t="s">
        <v>54</v>
      </c>
    </row>
    <row r="64" spans="1:14" x14ac:dyDescent="0.3">
      <c r="A64" t="s">
        <v>163</v>
      </c>
      <c r="B64" s="2">
        <v>45393</v>
      </c>
      <c r="C64" t="s">
        <v>64</v>
      </c>
      <c r="D64" t="s">
        <v>16</v>
      </c>
      <c r="E64" t="s">
        <v>117</v>
      </c>
      <c r="F64" t="s">
        <v>118</v>
      </c>
      <c r="G64" t="s">
        <v>27</v>
      </c>
      <c r="H64" t="s">
        <v>59</v>
      </c>
      <c r="I64">
        <v>6</v>
      </c>
      <c r="J64" s="3">
        <v>2550.21</v>
      </c>
      <c r="K64" s="3">
        <v>15301.26</v>
      </c>
      <c r="L64" s="3">
        <v>10775.32</v>
      </c>
      <c r="M64" s="3">
        <v>4525.9399999999996</v>
      </c>
      <c r="N64" t="s">
        <v>21</v>
      </c>
    </row>
    <row r="65" spans="1:14" x14ac:dyDescent="0.3">
      <c r="A65" t="s">
        <v>164</v>
      </c>
      <c r="B65" s="2">
        <v>45469</v>
      </c>
      <c r="C65" t="s">
        <v>51</v>
      </c>
      <c r="D65" t="s">
        <v>24</v>
      </c>
      <c r="E65" t="s">
        <v>57</v>
      </c>
      <c r="F65" t="s">
        <v>58</v>
      </c>
      <c r="G65" t="s">
        <v>27</v>
      </c>
      <c r="H65" t="s">
        <v>59</v>
      </c>
      <c r="I65">
        <v>1</v>
      </c>
      <c r="J65" s="3">
        <v>2674.79</v>
      </c>
      <c r="K65" s="3">
        <v>2674.79</v>
      </c>
      <c r="L65" s="3">
        <v>2258.77</v>
      </c>
      <c r="M65" s="3">
        <v>416.02</v>
      </c>
      <c r="N65" t="s">
        <v>54</v>
      </c>
    </row>
    <row r="66" spans="1:14" x14ac:dyDescent="0.3">
      <c r="A66" t="s">
        <v>165</v>
      </c>
      <c r="B66" s="2">
        <v>45477</v>
      </c>
      <c r="C66" t="s">
        <v>15</v>
      </c>
      <c r="D66" t="s">
        <v>24</v>
      </c>
      <c r="E66" t="s">
        <v>32</v>
      </c>
      <c r="F66" t="s">
        <v>33</v>
      </c>
      <c r="G66" t="s">
        <v>34</v>
      </c>
      <c r="H66" t="s">
        <v>94</v>
      </c>
      <c r="I66">
        <v>6</v>
      </c>
      <c r="J66" s="3">
        <v>1335.62</v>
      </c>
      <c r="K66" s="3">
        <v>8013.72</v>
      </c>
      <c r="L66" s="3">
        <v>6744.67</v>
      </c>
      <c r="M66" s="3">
        <v>1269.05</v>
      </c>
      <c r="N66" t="s">
        <v>54</v>
      </c>
    </row>
    <row r="67" spans="1:14" x14ac:dyDescent="0.3">
      <c r="A67" t="s">
        <v>166</v>
      </c>
      <c r="B67" s="2">
        <v>45530</v>
      </c>
      <c r="C67" t="s">
        <v>102</v>
      </c>
      <c r="D67" t="s">
        <v>24</v>
      </c>
      <c r="E67" t="s">
        <v>57</v>
      </c>
      <c r="F67" t="s">
        <v>58</v>
      </c>
      <c r="G67" t="s">
        <v>34</v>
      </c>
      <c r="H67" t="s">
        <v>74</v>
      </c>
      <c r="I67">
        <v>1</v>
      </c>
      <c r="J67" s="3">
        <v>1529.26</v>
      </c>
      <c r="K67" s="3">
        <v>1529.26</v>
      </c>
      <c r="L67" s="3">
        <v>1177.78</v>
      </c>
      <c r="M67" s="3">
        <v>351.48</v>
      </c>
      <c r="N67" t="s">
        <v>44</v>
      </c>
    </row>
    <row r="68" spans="1:14" x14ac:dyDescent="0.3">
      <c r="A68" t="s">
        <v>167</v>
      </c>
      <c r="B68" s="2">
        <v>45604</v>
      </c>
      <c r="C68" t="s">
        <v>76</v>
      </c>
      <c r="D68" t="s">
        <v>24</v>
      </c>
      <c r="E68" t="s">
        <v>57</v>
      </c>
      <c r="F68" t="s">
        <v>58</v>
      </c>
      <c r="G68" t="s">
        <v>27</v>
      </c>
      <c r="H68" t="s">
        <v>59</v>
      </c>
      <c r="I68">
        <v>2</v>
      </c>
      <c r="J68" s="3">
        <v>2493.77</v>
      </c>
      <c r="K68" s="3">
        <v>4987.54</v>
      </c>
      <c r="L68" s="3">
        <v>3745.47</v>
      </c>
      <c r="M68" s="3">
        <v>1242.07</v>
      </c>
      <c r="N68" t="s">
        <v>36</v>
      </c>
    </row>
    <row r="69" spans="1:14" x14ac:dyDescent="0.3">
      <c r="A69" t="s">
        <v>168</v>
      </c>
      <c r="B69" s="2">
        <v>45435</v>
      </c>
      <c r="C69" t="s">
        <v>15</v>
      </c>
      <c r="D69" t="s">
        <v>65</v>
      </c>
      <c r="E69" t="s">
        <v>66</v>
      </c>
      <c r="F69" t="s">
        <v>67</v>
      </c>
      <c r="G69" t="s">
        <v>34</v>
      </c>
      <c r="H69" t="s">
        <v>74</v>
      </c>
      <c r="I69">
        <v>1</v>
      </c>
      <c r="J69" s="3">
        <v>1517.23</v>
      </c>
      <c r="K69" s="3">
        <v>1517.23</v>
      </c>
      <c r="L69" s="3">
        <v>1155.05</v>
      </c>
      <c r="M69" s="3">
        <v>362.18</v>
      </c>
      <c r="N69" t="s">
        <v>62</v>
      </c>
    </row>
    <row r="70" spans="1:14" x14ac:dyDescent="0.3">
      <c r="A70" t="s">
        <v>169</v>
      </c>
      <c r="B70" s="2">
        <v>45645</v>
      </c>
      <c r="C70" t="s">
        <v>134</v>
      </c>
      <c r="D70" t="s">
        <v>24</v>
      </c>
      <c r="E70" t="s">
        <v>47</v>
      </c>
      <c r="F70" t="s">
        <v>73</v>
      </c>
      <c r="G70" t="s">
        <v>34</v>
      </c>
      <c r="H70" t="s">
        <v>87</v>
      </c>
      <c r="I70">
        <v>1</v>
      </c>
      <c r="J70" s="3">
        <v>671.19</v>
      </c>
      <c r="K70" s="3">
        <v>671.19</v>
      </c>
      <c r="L70" s="3">
        <v>510.7</v>
      </c>
      <c r="M70" s="3">
        <v>160.49</v>
      </c>
      <c r="N70" t="s">
        <v>36</v>
      </c>
    </row>
    <row r="71" spans="1:14" x14ac:dyDescent="0.3">
      <c r="A71" t="s">
        <v>170</v>
      </c>
      <c r="B71" s="2">
        <v>45631</v>
      </c>
      <c r="C71" t="s">
        <v>38</v>
      </c>
      <c r="D71" t="s">
        <v>65</v>
      </c>
      <c r="E71" t="s">
        <v>131</v>
      </c>
      <c r="F71" t="s">
        <v>132</v>
      </c>
      <c r="G71" t="s">
        <v>19</v>
      </c>
      <c r="H71" t="s">
        <v>171</v>
      </c>
      <c r="I71">
        <v>4</v>
      </c>
      <c r="J71" s="3">
        <v>4617.17</v>
      </c>
      <c r="K71" s="3">
        <v>18468.68</v>
      </c>
      <c r="L71" s="3">
        <v>14591.69</v>
      </c>
      <c r="M71" s="3">
        <v>3876.99</v>
      </c>
      <c r="N71" t="s">
        <v>29</v>
      </c>
    </row>
    <row r="72" spans="1:14" x14ac:dyDescent="0.3">
      <c r="A72" t="s">
        <v>172</v>
      </c>
      <c r="B72" s="2">
        <v>45524</v>
      </c>
      <c r="C72" t="s">
        <v>15</v>
      </c>
      <c r="D72" t="s">
        <v>65</v>
      </c>
      <c r="E72" t="s">
        <v>113</v>
      </c>
      <c r="F72" t="s">
        <v>114</v>
      </c>
      <c r="G72" t="s">
        <v>27</v>
      </c>
      <c r="H72" t="s">
        <v>68</v>
      </c>
      <c r="I72">
        <v>6</v>
      </c>
      <c r="J72" s="3">
        <v>16893.3</v>
      </c>
      <c r="K72" s="3">
        <v>101359.8</v>
      </c>
      <c r="L72" s="3">
        <v>71348.27</v>
      </c>
      <c r="M72" s="3">
        <v>30011.53</v>
      </c>
      <c r="N72" t="s">
        <v>29</v>
      </c>
    </row>
    <row r="73" spans="1:14" x14ac:dyDescent="0.3">
      <c r="A73" t="s">
        <v>173</v>
      </c>
      <c r="B73" s="2">
        <v>45386</v>
      </c>
      <c r="C73" t="s">
        <v>46</v>
      </c>
      <c r="D73" t="s">
        <v>39</v>
      </c>
      <c r="E73" t="s">
        <v>40</v>
      </c>
      <c r="F73" t="s">
        <v>41</v>
      </c>
      <c r="G73" t="s">
        <v>19</v>
      </c>
      <c r="H73" t="s">
        <v>171</v>
      </c>
      <c r="I73">
        <v>6</v>
      </c>
      <c r="J73" s="3">
        <v>4275.25</v>
      </c>
      <c r="K73" s="3">
        <v>25651.5</v>
      </c>
      <c r="L73" s="3">
        <v>21343.11</v>
      </c>
      <c r="M73" s="3">
        <v>4308.3900000000003</v>
      </c>
      <c r="N73" t="s">
        <v>36</v>
      </c>
    </row>
    <row r="74" spans="1:14" x14ac:dyDescent="0.3">
      <c r="A74" t="s">
        <v>174</v>
      </c>
      <c r="B74" s="2">
        <v>45343</v>
      </c>
      <c r="C74" t="s">
        <v>76</v>
      </c>
      <c r="D74" t="s">
        <v>39</v>
      </c>
      <c r="E74" t="s">
        <v>97</v>
      </c>
      <c r="F74" t="s">
        <v>98</v>
      </c>
      <c r="G74" t="s">
        <v>27</v>
      </c>
      <c r="H74" t="s">
        <v>28</v>
      </c>
      <c r="I74">
        <v>3</v>
      </c>
      <c r="J74" s="3">
        <v>49655.63</v>
      </c>
      <c r="K74" s="3">
        <v>148966.89000000001</v>
      </c>
      <c r="L74" s="3">
        <v>117211.17</v>
      </c>
      <c r="M74" s="3">
        <v>31755.72</v>
      </c>
      <c r="N74" t="s">
        <v>21</v>
      </c>
    </row>
    <row r="75" spans="1:14" x14ac:dyDescent="0.3">
      <c r="A75" t="s">
        <v>175</v>
      </c>
      <c r="B75" s="2">
        <v>45319</v>
      </c>
      <c r="C75" t="s">
        <v>122</v>
      </c>
      <c r="D75" t="s">
        <v>65</v>
      </c>
      <c r="E75" t="s">
        <v>123</v>
      </c>
      <c r="F75" t="s">
        <v>124</v>
      </c>
      <c r="G75" t="s">
        <v>19</v>
      </c>
      <c r="H75" t="s">
        <v>77</v>
      </c>
      <c r="I75">
        <v>1</v>
      </c>
      <c r="J75" s="3">
        <v>1289.45</v>
      </c>
      <c r="K75" s="3">
        <v>1289.45</v>
      </c>
      <c r="L75" s="3">
        <v>1024.8699999999999</v>
      </c>
      <c r="M75" s="3">
        <v>264.58</v>
      </c>
      <c r="N75" t="s">
        <v>54</v>
      </c>
    </row>
    <row r="76" spans="1:14" x14ac:dyDescent="0.3">
      <c r="A76" t="s">
        <v>176</v>
      </c>
      <c r="B76" s="2">
        <v>45517</v>
      </c>
      <c r="C76" t="s">
        <v>122</v>
      </c>
      <c r="D76" t="s">
        <v>65</v>
      </c>
      <c r="E76" t="s">
        <v>123</v>
      </c>
      <c r="F76" t="s">
        <v>124</v>
      </c>
      <c r="G76" t="s">
        <v>42</v>
      </c>
      <c r="H76" t="s">
        <v>43</v>
      </c>
      <c r="I76">
        <v>4</v>
      </c>
      <c r="J76" s="3">
        <v>2583.89</v>
      </c>
      <c r="K76" s="3">
        <v>10335.56</v>
      </c>
      <c r="L76" s="3">
        <v>7163.25</v>
      </c>
      <c r="M76" s="3">
        <v>3172.31</v>
      </c>
      <c r="N76" t="s">
        <v>21</v>
      </c>
    </row>
    <row r="77" spans="1:14" x14ac:dyDescent="0.3">
      <c r="A77" t="s">
        <v>177</v>
      </c>
      <c r="B77" s="2">
        <v>45587</v>
      </c>
      <c r="C77" t="s">
        <v>15</v>
      </c>
      <c r="D77" t="s">
        <v>16</v>
      </c>
      <c r="E77" t="s">
        <v>117</v>
      </c>
      <c r="F77" t="s">
        <v>118</v>
      </c>
      <c r="G77" t="s">
        <v>27</v>
      </c>
      <c r="H77" t="s">
        <v>91</v>
      </c>
      <c r="I77">
        <v>3</v>
      </c>
      <c r="J77" s="3">
        <v>2751.11</v>
      </c>
      <c r="K77" s="3">
        <v>8253.33</v>
      </c>
      <c r="L77" s="3">
        <v>6021.94</v>
      </c>
      <c r="M77" s="3">
        <v>2231.39</v>
      </c>
      <c r="N77" t="s">
        <v>54</v>
      </c>
    </row>
    <row r="78" spans="1:14" x14ac:dyDescent="0.3">
      <c r="A78" t="s">
        <v>178</v>
      </c>
      <c r="B78" s="2">
        <v>45602</v>
      </c>
      <c r="C78" t="s">
        <v>86</v>
      </c>
      <c r="D78" t="s">
        <v>39</v>
      </c>
      <c r="E78" t="s">
        <v>70</v>
      </c>
      <c r="F78" t="s">
        <v>71</v>
      </c>
      <c r="G78" t="s">
        <v>34</v>
      </c>
      <c r="H78" t="s">
        <v>49</v>
      </c>
      <c r="I78">
        <v>3</v>
      </c>
      <c r="J78" s="3">
        <v>3430.51</v>
      </c>
      <c r="K78" s="3">
        <v>10291.530000000001</v>
      </c>
      <c r="L78" s="3">
        <v>9036.0300000000007</v>
      </c>
      <c r="M78" s="3">
        <v>1255.5</v>
      </c>
      <c r="N78" t="s">
        <v>44</v>
      </c>
    </row>
    <row r="79" spans="1:14" x14ac:dyDescent="0.3">
      <c r="A79" t="s">
        <v>179</v>
      </c>
      <c r="B79" s="2">
        <v>45609</v>
      </c>
      <c r="C79" t="s">
        <v>144</v>
      </c>
      <c r="D79" t="s">
        <v>16</v>
      </c>
      <c r="E79" t="s">
        <v>17</v>
      </c>
      <c r="F79" t="s">
        <v>18</v>
      </c>
      <c r="G79" t="s">
        <v>42</v>
      </c>
      <c r="H79" t="s">
        <v>106</v>
      </c>
      <c r="I79">
        <v>6</v>
      </c>
      <c r="J79" s="3">
        <v>847.98</v>
      </c>
      <c r="K79" s="3">
        <v>5087.88</v>
      </c>
      <c r="L79" s="3">
        <v>4131.79</v>
      </c>
      <c r="M79" s="3">
        <v>956.09</v>
      </c>
      <c r="N79" t="s">
        <v>62</v>
      </c>
    </row>
    <row r="80" spans="1:14" x14ac:dyDescent="0.3">
      <c r="A80" t="s">
        <v>180</v>
      </c>
      <c r="B80" s="2">
        <v>45380</v>
      </c>
      <c r="C80" t="s">
        <v>134</v>
      </c>
      <c r="D80" t="s">
        <v>16</v>
      </c>
      <c r="E80" t="s">
        <v>117</v>
      </c>
      <c r="F80" t="s">
        <v>118</v>
      </c>
      <c r="G80" t="s">
        <v>27</v>
      </c>
      <c r="H80" t="s">
        <v>61</v>
      </c>
      <c r="I80">
        <v>6</v>
      </c>
      <c r="J80" s="3">
        <v>4584.43</v>
      </c>
      <c r="K80" s="3">
        <v>27506.58</v>
      </c>
      <c r="L80" s="3">
        <v>20306.78</v>
      </c>
      <c r="M80" s="3">
        <v>7199.8</v>
      </c>
      <c r="N80" t="s">
        <v>36</v>
      </c>
    </row>
    <row r="81" spans="1:14" x14ac:dyDescent="0.3">
      <c r="A81" t="s">
        <v>181</v>
      </c>
      <c r="B81" s="2">
        <v>45653</v>
      </c>
      <c r="C81" t="s">
        <v>23</v>
      </c>
      <c r="D81" t="s">
        <v>65</v>
      </c>
      <c r="E81" t="s">
        <v>131</v>
      </c>
      <c r="F81" t="s">
        <v>132</v>
      </c>
      <c r="G81" t="s">
        <v>27</v>
      </c>
      <c r="H81" t="s">
        <v>28</v>
      </c>
      <c r="I81">
        <v>3</v>
      </c>
      <c r="J81" s="3">
        <v>58166.11</v>
      </c>
      <c r="K81" s="3">
        <v>174498.33</v>
      </c>
      <c r="L81" s="3">
        <v>140473.18</v>
      </c>
      <c r="M81" s="3">
        <v>34025.15</v>
      </c>
      <c r="N81" t="s">
        <v>54</v>
      </c>
    </row>
    <row r="82" spans="1:14" x14ac:dyDescent="0.3">
      <c r="A82" t="s">
        <v>182</v>
      </c>
      <c r="B82" s="2">
        <v>45350</v>
      </c>
      <c r="C82" t="s">
        <v>46</v>
      </c>
      <c r="D82" t="s">
        <v>39</v>
      </c>
      <c r="E82" t="s">
        <v>40</v>
      </c>
      <c r="F82" t="s">
        <v>41</v>
      </c>
      <c r="G82" t="s">
        <v>42</v>
      </c>
      <c r="H82" t="s">
        <v>106</v>
      </c>
      <c r="I82">
        <v>1</v>
      </c>
      <c r="J82" s="3">
        <v>820.73</v>
      </c>
      <c r="K82" s="3">
        <v>820.73</v>
      </c>
      <c r="L82" s="3">
        <v>688.2</v>
      </c>
      <c r="M82" s="3">
        <v>132.53</v>
      </c>
      <c r="N82" t="s">
        <v>29</v>
      </c>
    </row>
    <row r="83" spans="1:14" x14ac:dyDescent="0.3">
      <c r="A83" t="s">
        <v>183</v>
      </c>
      <c r="B83" s="2">
        <v>45583</v>
      </c>
      <c r="C83" t="s">
        <v>15</v>
      </c>
      <c r="D83" t="s">
        <v>65</v>
      </c>
      <c r="E83" t="s">
        <v>131</v>
      </c>
      <c r="F83" t="s">
        <v>132</v>
      </c>
      <c r="G83" t="s">
        <v>27</v>
      </c>
      <c r="H83" t="s">
        <v>59</v>
      </c>
      <c r="I83">
        <v>6</v>
      </c>
      <c r="J83" s="3">
        <v>2451.25</v>
      </c>
      <c r="K83" s="3">
        <v>14707.5</v>
      </c>
      <c r="L83" s="3">
        <v>10801.91</v>
      </c>
      <c r="M83" s="3">
        <v>3905.59</v>
      </c>
      <c r="N83" t="s">
        <v>54</v>
      </c>
    </row>
    <row r="84" spans="1:14" x14ac:dyDescent="0.3">
      <c r="A84" t="s">
        <v>184</v>
      </c>
      <c r="B84" s="2">
        <v>45516</v>
      </c>
      <c r="C84" t="s">
        <v>64</v>
      </c>
      <c r="D84" t="s">
        <v>16</v>
      </c>
      <c r="E84" t="s">
        <v>17</v>
      </c>
      <c r="F84" t="s">
        <v>18</v>
      </c>
      <c r="G84" t="s">
        <v>82</v>
      </c>
      <c r="H84" t="s">
        <v>83</v>
      </c>
      <c r="I84">
        <v>5</v>
      </c>
      <c r="J84" s="3">
        <v>617.54999999999995</v>
      </c>
      <c r="K84" s="3">
        <v>3087.75</v>
      </c>
      <c r="L84" s="3">
        <v>2156.0700000000002</v>
      </c>
      <c r="M84" s="3">
        <v>931.68</v>
      </c>
      <c r="N84" t="s">
        <v>44</v>
      </c>
    </row>
    <row r="85" spans="1:14" x14ac:dyDescent="0.3">
      <c r="A85" t="s">
        <v>185</v>
      </c>
      <c r="B85" s="2">
        <v>45302</v>
      </c>
      <c r="C85" t="s">
        <v>76</v>
      </c>
      <c r="D85" t="s">
        <v>65</v>
      </c>
      <c r="E85" t="s">
        <v>66</v>
      </c>
      <c r="F85" t="s">
        <v>67</v>
      </c>
      <c r="G85" t="s">
        <v>82</v>
      </c>
      <c r="H85" t="s">
        <v>100</v>
      </c>
      <c r="I85">
        <v>4</v>
      </c>
      <c r="J85" s="3">
        <v>903.41</v>
      </c>
      <c r="K85" s="3">
        <v>3613.64</v>
      </c>
      <c r="L85" s="3">
        <v>2776.89</v>
      </c>
      <c r="M85" s="3">
        <v>836.75</v>
      </c>
      <c r="N85" t="s">
        <v>62</v>
      </c>
    </row>
    <row r="86" spans="1:14" x14ac:dyDescent="0.3">
      <c r="A86" t="s">
        <v>186</v>
      </c>
      <c r="B86" s="2">
        <v>45591</v>
      </c>
      <c r="C86" t="s">
        <v>51</v>
      </c>
      <c r="D86" t="s">
        <v>24</v>
      </c>
      <c r="E86" t="s">
        <v>47</v>
      </c>
      <c r="F86" t="s">
        <v>73</v>
      </c>
      <c r="G86" t="s">
        <v>42</v>
      </c>
      <c r="H86" t="s">
        <v>187</v>
      </c>
      <c r="I86">
        <v>3</v>
      </c>
      <c r="J86" s="3">
        <v>834.42</v>
      </c>
      <c r="K86" s="3">
        <v>2503.2600000000002</v>
      </c>
      <c r="L86" s="3">
        <v>1862.96</v>
      </c>
      <c r="M86" s="3">
        <v>640.29999999999995</v>
      </c>
      <c r="N86" t="s">
        <v>62</v>
      </c>
    </row>
    <row r="87" spans="1:14" x14ac:dyDescent="0.3">
      <c r="A87" t="s">
        <v>188</v>
      </c>
      <c r="B87" s="2">
        <v>45460</v>
      </c>
      <c r="C87" t="s">
        <v>76</v>
      </c>
      <c r="D87" t="s">
        <v>24</v>
      </c>
      <c r="E87" t="s">
        <v>47</v>
      </c>
      <c r="F87" t="s">
        <v>73</v>
      </c>
      <c r="G87" t="s">
        <v>27</v>
      </c>
      <c r="H87" t="s">
        <v>61</v>
      </c>
      <c r="I87">
        <v>5</v>
      </c>
      <c r="J87" s="3">
        <v>4083.03</v>
      </c>
      <c r="K87" s="3">
        <v>20415.150000000001</v>
      </c>
      <c r="L87" s="3">
        <v>14241.85</v>
      </c>
      <c r="M87" s="3">
        <v>6173.3</v>
      </c>
      <c r="N87" t="s">
        <v>36</v>
      </c>
    </row>
    <row r="88" spans="1:14" x14ac:dyDescent="0.3">
      <c r="A88" t="s">
        <v>189</v>
      </c>
      <c r="B88" s="2">
        <v>45351</v>
      </c>
      <c r="C88" t="s">
        <v>38</v>
      </c>
      <c r="D88" t="s">
        <v>24</v>
      </c>
      <c r="E88" t="s">
        <v>25</v>
      </c>
      <c r="F88" t="s">
        <v>26</v>
      </c>
      <c r="G88" t="s">
        <v>19</v>
      </c>
      <c r="H88" t="s">
        <v>151</v>
      </c>
      <c r="I88">
        <v>4</v>
      </c>
      <c r="J88" s="3">
        <v>589.59</v>
      </c>
      <c r="K88" s="3">
        <v>2358.36</v>
      </c>
      <c r="L88" s="3">
        <v>1692.16</v>
      </c>
      <c r="M88" s="3">
        <v>666.2</v>
      </c>
      <c r="N88" t="s">
        <v>44</v>
      </c>
    </row>
    <row r="89" spans="1:14" x14ac:dyDescent="0.3">
      <c r="A89" t="s">
        <v>190</v>
      </c>
      <c r="B89" s="2">
        <v>45547</v>
      </c>
      <c r="C89" t="s">
        <v>122</v>
      </c>
      <c r="D89" t="s">
        <v>24</v>
      </c>
      <c r="E89" t="s">
        <v>25</v>
      </c>
      <c r="F89" t="s">
        <v>26</v>
      </c>
      <c r="G89" t="s">
        <v>27</v>
      </c>
      <c r="H89" t="s">
        <v>91</v>
      </c>
      <c r="I89">
        <v>2</v>
      </c>
      <c r="J89" s="3">
        <v>3256.6</v>
      </c>
      <c r="K89" s="3">
        <v>6513.2</v>
      </c>
      <c r="L89" s="3">
        <v>4999.68</v>
      </c>
      <c r="M89" s="3">
        <v>1513.52</v>
      </c>
      <c r="N89" t="s">
        <v>21</v>
      </c>
    </row>
    <row r="90" spans="1:14" x14ac:dyDescent="0.3">
      <c r="A90" t="s">
        <v>191</v>
      </c>
      <c r="B90" s="2">
        <v>45306</v>
      </c>
      <c r="C90" t="s">
        <v>51</v>
      </c>
      <c r="D90" t="s">
        <v>39</v>
      </c>
      <c r="E90" t="s">
        <v>40</v>
      </c>
      <c r="F90" t="s">
        <v>41</v>
      </c>
      <c r="G90" t="s">
        <v>34</v>
      </c>
      <c r="H90" t="s">
        <v>87</v>
      </c>
      <c r="I90">
        <v>5</v>
      </c>
      <c r="J90" s="3">
        <v>687.12</v>
      </c>
      <c r="K90" s="3">
        <v>3435.6</v>
      </c>
      <c r="L90" s="3">
        <v>2490.6</v>
      </c>
      <c r="M90" s="3">
        <v>945</v>
      </c>
      <c r="N90" t="s">
        <v>54</v>
      </c>
    </row>
    <row r="91" spans="1:14" x14ac:dyDescent="0.3">
      <c r="A91" t="s">
        <v>192</v>
      </c>
      <c r="B91" s="2">
        <v>45352</v>
      </c>
      <c r="C91" t="s">
        <v>122</v>
      </c>
      <c r="D91" t="s">
        <v>39</v>
      </c>
      <c r="E91" t="s">
        <v>70</v>
      </c>
      <c r="F91" t="s">
        <v>71</v>
      </c>
      <c r="G91" t="s">
        <v>42</v>
      </c>
      <c r="H91" t="s">
        <v>43</v>
      </c>
      <c r="I91">
        <v>5</v>
      </c>
      <c r="J91" s="3">
        <v>2915.03</v>
      </c>
      <c r="K91" s="3">
        <v>14575.15</v>
      </c>
      <c r="L91" s="3">
        <v>11122.27</v>
      </c>
      <c r="M91" s="3">
        <v>3452.88</v>
      </c>
      <c r="N91" t="s">
        <v>54</v>
      </c>
    </row>
    <row r="92" spans="1:14" x14ac:dyDescent="0.3">
      <c r="A92" t="s">
        <v>193</v>
      </c>
      <c r="B92" s="2">
        <v>45416</v>
      </c>
      <c r="C92" t="s">
        <v>56</v>
      </c>
      <c r="D92" t="s">
        <v>24</v>
      </c>
      <c r="E92" t="s">
        <v>32</v>
      </c>
      <c r="F92" t="s">
        <v>33</v>
      </c>
      <c r="G92" t="s">
        <v>34</v>
      </c>
      <c r="H92" t="s">
        <v>94</v>
      </c>
      <c r="I92">
        <v>5</v>
      </c>
      <c r="J92" s="3">
        <v>1468.96</v>
      </c>
      <c r="K92" s="3">
        <v>7344.8</v>
      </c>
      <c r="L92" s="3">
        <v>5194.99</v>
      </c>
      <c r="M92" s="3">
        <v>2149.81</v>
      </c>
      <c r="N92" t="s">
        <v>36</v>
      </c>
    </row>
    <row r="93" spans="1:14" x14ac:dyDescent="0.3">
      <c r="A93" t="s">
        <v>194</v>
      </c>
      <c r="B93" s="2">
        <v>45504</v>
      </c>
      <c r="C93" t="s">
        <v>122</v>
      </c>
      <c r="D93" t="s">
        <v>65</v>
      </c>
      <c r="E93" t="s">
        <v>113</v>
      </c>
      <c r="F93" t="s">
        <v>114</v>
      </c>
      <c r="G93" t="s">
        <v>82</v>
      </c>
      <c r="H93" t="s">
        <v>83</v>
      </c>
      <c r="I93">
        <v>6</v>
      </c>
      <c r="J93" s="3">
        <v>623.80999999999995</v>
      </c>
      <c r="K93" s="3">
        <v>3742.86</v>
      </c>
      <c r="L93" s="3">
        <v>2984.51</v>
      </c>
      <c r="M93" s="3">
        <v>758.35</v>
      </c>
      <c r="N93" t="s">
        <v>62</v>
      </c>
    </row>
    <row r="94" spans="1:14" x14ac:dyDescent="0.3">
      <c r="A94" t="s">
        <v>195</v>
      </c>
      <c r="B94" s="2">
        <v>45520</v>
      </c>
      <c r="C94" t="s">
        <v>23</v>
      </c>
      <c r="D94" t="s">
        <v>24</v>
      </c>
      <c r="E94" t="s">
        <v>57</v>
      </c>
      <c r="F94" t="s">
        <v>58</v>
      </c>
      <c r="G94" t="s">
        <v>34</v>
      </c>
      <c r="H94" t="s">
        <v>94</v>
      </c>
      <c r="I94">
        <v>4</v>
      </c>
      <c r="J94" s="3">
        <v>1387.5</v>
      </c>
      <c r="K94" s="3">
        <v>5550</v>
      </c>
      <c r="L94" s="3">
        <v>4131.17</v>
      </c>
      <c r="M94" s="3">
        <v>1418.83</v>
      </c>
      <c r="N94" t="s">
        <v>29</v>
      </c>
    </row>
    <row r="95" spans="1:14" x14ac:dyDescent="0.3">
      <c r="A95" t="s">
        <v>196</v>
      </c>
      <c r="B95" s="2">
        <v>45414</v>
      </c>
      <c r="C95" t="s">
        <v>105</v>
      </c>
      <c r="D95" t="s">
        <v>24</v>
      </c>
      <c r="E95" t="s">
        <v>32</v>
      </c>
      <c r="F95" t="s">
        <v>33</v>
      </c>
      <c r="G95" t="s">
        <v>82</v>
      </c>
      <c r="H95" t="s">
        <v>135</v>
      </c>
      <c r="I95">
        <v>1</v>
      </c>
      <c r="J95" s="3">
        <v>530</v>
      </c>
      <c r="K95" s="3">
        <v>530</v>
      </c>
      <c r="L95" s="3">
        <v>410.54</v>
      </c>
      <c r="M95" s="3">
        <v>119.46</v>
      </c>
      <c r="N95" t="s">
        <v>54</v>
      </c>
    </row>
    <row r="96" spans="1:14" x14ac:dyDescent="0.3">
      <c r="A96" t="s">
        <v>197</v>
      </c>
      <c r="B96" s="2">
        <v>45631</v>
      </c>
      <c r="C96" t="s">
        <v>51</v>
      </c>
      <c r="D96" t="s">
        <v>39</v>
      </c>
      <c r="E96" t="s">
        <v>70</v>
      </c>
      <c r="F96" t="s">
        <v>71</v>
      </c>
      <c r="G96" t="s">
        <v>42</v>
      </c>
      <c r="H96" t="s">
        <v>106</v>
      </c>
      <c r="I96">
        <v>5</v>
      </c>
      <c r="J96" s="3">
        <v>983.76</v>
      </c>
      <c r="K96" s="3">
        <v>4918.8</v>
      </c>
      <c r="L96" s="3">
        <v>3671.39</v>
      </c>
      <c r="M96" s="3">
        <v>1247.4100000000001</v>
      </c>
      <c r="N96" t="s">
        <v>54</v>
      </c>
    </row>
    <row r="97" spans="1:14" x14ac:dyDescent="0.3">
      <c r="A97" t="s">
        <v>198</v>
      </c>
      <c r="B97" s="2">
        <v>45343</v>
      </c>
      <c r="C97" t="s">
        <v>76</v>
      </c>
      <c r="D97" t="s">
        <v>24</v>
      </c>
      <c r="E97" t="s">
        <v>25</v>
      </c>
      <c r="F97" t="s">
        <v>26</v>
      </c>
      <c r="G97" t="s">
        <v>19</v>
      </c>
      <c r="H97" t="s">
        <v>77</v>
      </c>
      <c r="I97">
        <v>6</v>
      </c>
      <c r="J97" s="3">
        <v>1312.79</v>
      </c>
      <c r="K97" s="3">
        <v>7876.74</v>
      </c>
      <c r="L97" s="3">
        <v>5474.06</v>
      </c>
      <c r="M97" s="3">
        <v>2402.6799999999998</v>
      </c>
      <c r="N97" t="s">
        <v>36</v>
      </c>
    </row>
    <row r="98" spans="1:14" x14ac:dyDescent="0.3">
      <c r="A98" t="s">
        <v>199</v>
      </c>
      <c r="B98" s="2">
        <v>45611</v>
      </c>
      <c r="C98" t="s">
        <v>122</v>
      </c>
      <c r="D98" t="s">
        <v>24</v>
      </c>
      <c r="E98" t="s">
        <v>25</v>
      </c>
      <c r="F98" t="s">
        <v>26</v>
      </c>
      <c r="G98" t="s">
        <v>82</v>
      </c>
      <c r="H98" t="s">
        <v>200</v>
      </c>
      <c r="I98">
        <v>4</v>
      </c>
      <c r="J98" s="3">
        <v>1963.49</v>
      </c>
      <c r="K98" s="3">
        <v>7853.96</v>
      </c>
      <c r="L98" s="3">
        <v>6325.26</v>
      </c>
      <c r="M98" s="3">
        <v>1528.7</v>
      </c>
      <c r="N98" t="s">
        <v>44</v>
      </c>
    </row>
    <row r="99" spans="1:14" x14ac:dyDescent="0.3">
      <c r="A99" t="s">
        <v>201</v>
      </c>
      <c r="B99" s="2">
        <v>45310</v>
      </c>
      <c r="C99" t="s">
        <v>51</v>
      </c>
      <c r="D99" t="s">
        <v>16</v>
      </c>
      <c r="E99" t="s">
        <v>117</v>
      </c>
      <c r="F99" t="s">
        <v>118</v>
      </c>
      <c r="G99" t="s">
        <v>19</v>
      </c>
      <c r="H99" t="s">
        <v>171</v>
      </c>
      <c r="I99">
        <v>2</v>
      </c>
      <c r="J99" s="3">
        <v>4407.28</v>
      </c>
      <c r="K99" s="3">
        <v>8814.56</v>
      </c>
      <c r="L99" s="3">
        <v>6758.95</v>
      </c>
      <c r="M99" s="3">
        <v>2055.61</v>
      </c>
      <c r="N99" t="s">
        <v>29</v>
      </c>
    </row>
    <row r="100" spans="1:14" x14ac:dyDescent="0.3">
      <c r="A100" t="s">
        <v>202</v>
      </c>
      <c r="B100" s="2">
        <v>45652</v>
      </c>
      <c r="C100" t="s">
        <v>86</v>
      </c>
      <c r="D100" t="s">
        <v>16</v>
      </c>
      <c r="E100" t="s">
        <v>47</v>
      </c>
      <c r="F100" t="s">
        <v>48</v>
      </c>
      <c r="G100" t="s">
        <v>27</v>
      </c>
      <c r="H100" t="s">
        <v>59</v>
      </c>
      <c r="I100">
        <v>1</v>
      </c>
      <c r="J100" s="3">
        <v>2273</v>
      </c>
      <c r="K100" s="3">
        <v>2273</v>
      </c>
      <c r="L100" s="3">
        <v>1907.57</v>
      </c>
      <c r="M100" s="3">
        <v>365.43</v>
      </c>
      <c r="N100" t="s">
        <v>36</v>
      </c>
    </row>
    <row r="101" spans="1:14" x14ac:dyDescent="0.3">
      <c r="A101" t="s">
        <v>203</v>
      </c>
      <c r="B101" s="2">
        <v>45483</v>
      </c>
      <c r="C101" t="s">
        <v>144</v>
      </c>
      <c r="D101" t="s">
        <v>24</v>
      </c>
      <c r="E101" t="s">
        <v>32</v>
      </c>
      <c r="F101" t="s">
        <v>33</v>
      </c>
      <c r="G101" t="s">
        <v>27</v>
      </c>
      <c r="H101" t="s">
        <v>61</v>
      </c>
      <c r="I101">
        <v>5</v>
      </c>
      <c r="J101" s="3">
        <v>4663.62</v>
      </c>
      <c r="K101" s="3">
        <v>23318.1</v>
      </c>
      <c r="L101" s="3">
        <v>16696.02</v>
      </c>
      <c r="M101" s="3">
        <v>6622.08</v>
      </c>
      <c r="N101" t="s">
        <v>21</v>
      </c>
    </row>
    <row r="102" spans="1:14" x14ac:dyDescent="0.3">
      <c r="A102" t="s">
        <v>204</v>
      </c>
      <c r="B102" s="2">
        <v>45604</v>
      </c>
      <c r="C102" t="s">
        <v>102</v>
      </c>
      <c r="D102" t="s">
        <v>24</v>
      </c>
      <c r="E102" t="s">
        <v>32</v>
      </c>
      <c r="F102" t="s">
        <v>33</v>
      </c>
      <c r="G102" t="s">
        <v>34</v>
      </c>
      <c r="H102" t="s">
        <v>94</v>
      </c>
      <c r="I102">
        <v>2</v>
      </c>
      <c r="J102" s="3">
        <v>1325.01</v>
      </c>
      <c r="K102" s="3">
        <v>2650.02</v>
      </c>
      <c r="L102" s="3">
        <v>2140.11</v>
      </c>
      <c r="M102" s="3">
        <v>509.91</v>
      </c>
      <c r="N102" t="s">
        <v>36</v>
      </c>
    </row>
    <row r="103" spans="1:14" x14ac:dyDescent="0.3">
      <c r="A103" t="s">
        <v>205</v>
      </c>
      <c r="B103" s="2">
        <v>45633</v>
      </c>
      <c r="C103" t="s">
        <v>64</v>
      </c>
      <c r="D103" t="s">
        <v>16</v>
      </c>
      <c r="E103" t="s">
        <v>47</v>
      </c>
      <c r="F103" t="s">
        <v>48</v>
      </c>
      <c r="G103" t="s">
        <v>42</v>
      </c>
      <c r="H103" t="s">
        <v>111</v>
      </c>
      <c r="I103">
        <v>2</v>
      </c>
      <c r="J103" s="3">
        <v>1463.64</v>
      </c>
      <c r="K103" s="3">
        <v>2927.28</v>
      </c>
      <c r="L103" s="3">
        <v>2543.94</v>
      </c>
      <c r="M103" s="3">
        <v>383.34</v>
      </c>
      <c r="N103" t="s">
        <v>36</v>
      </c>
    </row>
    <row r="104" spans="1:14" x14ac:dyDescent="0.3">
      <c r="A104" t="s">
        <v>206</v>
      </c>
      <c r="B104" s="2">
        <v>45619</v>
      </c>
      <c r="C104" t="s">
        <v>51</v>
      </c>
      <c r="D104" t="s">
        <v>24</v>
      </c>
      <c r="E104" t="s">
        <v>57</v>
      </c>
      <c r="F104" t="s">
        <v>58</v>
      </c>
      <c r="G104" t="s">
        <v>34</v>
      </c>
      <c r="H104" t="s">
        <v>35</v>
      </c>
      <c r="I104">
        <v>2</v>
      </c>
      <c r="J104" s="3">
        <v>2749.69</v>
      </c>
      <c r="K104" s="3">
        <v>5499.38</v>
      </c>
      <c r="L104" s="3">
        <v>4678.1400000000003</v>
      </c>
      <c r="M104" s="3">
        <v>821.24</v>
      </c>
      <c r="N104" t="s">
        <v>62</v>
      </c>
    </row>
    <row r="105" spans="1:14" x14ac:dyDescent="0.3">
      <c r="A105" t="s">
        <v>207</v>
      </c>
      <c r="B105" s="2">
        <v>45487</v>
      </c>
      <c r="C105" t="s">
        <v>76</v>
      </c>
      <c r="D105" t="s">
        <v>65</v>
      </c>
      <c r="E105" t="s">
        <v>113</v>
      </c>
      <c r="F105" t="s">
        <v>114</v>
      </c>
      <c r="G105" t="s">
        <v>42</v>
      </c>
      <c r="H105" t="s">
        <v>43</v>
      </c>
      <c r="I105">
        <v>1</v>
      </c>
      <c r="J105" s="3">
        <v>3067.65</v>
      </c>
      <c r="K105" s="3">
        <v>3067.65</v>
      </c>
      <c r="L105" s="3">
        <v>2489.85</v>
      </c>
      <c r="M105" s="3">
        <v>577.79999999999995</v>
      </c>
      <c r="N105" t="s">
        <v>21</v>
      </c>
    </row>
    <row r="106" spans="1:14" x14ac:dyDescent="0.3">
      <c r="A106" t="s">
        <v>208</v>
      </c>
      <c r="B106" s="2">
        <v>45581</v>
      </c>
      <c r="C106" t="s">
        <v>23</v>
      </c>
      <c r="D106" t="s">
        <v>16</v>
      </c>
      <c r="E106" t="s">
        <v>47</v>
      </c>
      <c r="F106" t="s">
        <v>48</v>
      </c>
      <c r="G106" t="s">
        <v>82</v>
      </c>
      <c r="H106" t="s">
        <v>83</v>
      </c>
      <c r="I106">
        <v>2</v>
      </c>
      <c r="J106" s="3">
        <v>663.92</v>
      </c>
      <c r="K106" s="3">
        <v>1327.84</v>
      </c>
      <c r="L106" s="3">
        <v>996.5</v>
      </c>
      <c r="M106" s="3">
        <v>331.34</v>
      </c>
      <c r="N106" t="s">
        <v>44</v>
      </c>
    </row>
    <row r="107" spans="1:14" x14ac:dyDescent="0.3">
      <c r="A107" t="s">
        <v>209</v>
      </c>
      <c r="B107" s="2">
        <v>45420</v>
      </c>
      <c r="C107" t="s">
        <v>38</v>
      </c>
      <c r="D107" t="s">
        <v>39</v>
      </c>
      <c r="E107" t="s">
        <v>52</v>
      </c>
      <c r="F107" t="s">
        <v>53</v>
      </c>
      <c r="G107" t="s">
        <v>42</v>
      </c>
      <c r="H107" t="s">
        <v>120</v>
      </c>
      <c r="I107">
        <v>3</v>
      </c>
      <c r="J107" s="3">
        <v>2326.9899999999998</v>
      </c>
      <c r="K107" s="3">
        <v>6980.97</v>
      </c>
      <c r="L107" s="3">
        <v>4793.6400000000003</v>
      </c>
      <c r="M107" s="3">
        <v>2187.33</v>
      </c>
      <c r="N107" t="s">
        <v>29</v>
      </c>
    </row>
    <row r="108" spans="1:14" x14ac:dyDescent="0.3">
      <c r="A108" t="s">
        <v>210</v>
      </c>
      <c r="B108" s="2">
        <v>45359</v>
      </c>
      <c r="C108" t="s">
        <v>38</v>
      </c>
      <c r="D108" t="s">
        <v>16</v>
      </c>
      <c r="E108" t="s">
        <v>80</v>
      </c>
      <c r="F108" t="s">
        <v>81</v>
      </c>
      <c r="G108" t="s">
        <v>34</v>
      </c>
      <c r="H108" t="s">
        <v>49</v>
      </c>
      <c r="I108">
        <v>2</v>
      </c>
      <c r="J108" s="3">
        <v>3008.51</v>
      </c>
      <c r="K108" s="3">
        <v>6017.02</v>
      </c>
      <c r="L108" s="3">
        <v>5038.07</v>
      </c>
      <c r="M108" s="3">
        <v>978.95</v>
      </c>
      <c r="N108" t="s">
        <v>44</v>
      </c>
    </row>
    <row r="109" spans="1:14" x14ac:dyDescent="0.3">
      <c r="A109" t="s">
        <v>211</v>
      </c>
      <c r="B109" s="2">
        <v>45548</v>
      </c>
      <c r="C109" t="s">
        <v>51</v>
      </c>
      <c r="D109" t="s">
        <v>65</v>
      </c>
      <c r="E109" t="s">
        <v>123</v>
      </c>
      <c r="F109" t="s">
        <v>124</v>
      </c>
      <c r="G109" t="s">
        <v>27</v>
      </c>
      <c r="H109" t="s">
        <v>61</v>
      </c>
      <c r="I109">
        <v>3</v>
      </c>
      <c r="J109" s="3">
        <v>4721.8999999999996</v>
      </c>
      <c r="K109" s="3">
        <v>14165.7</v>
      </c>
      <c r="L109" s="3">
        <v>10592.3</v>
      </c>
      <c r="M109" s="3">
        <v>3573.4</v>
      </c>
      <c r="N109" t="s">
        <v>54</v>
      </c>
    </row>
    <row r="110" spans="1:14" x14ac:dyDescent="0.3">
      <c r="A110" t="s">
        <v>212</v>
      </c>
      <c r="B110" s="2">
        <v>45330</v>
      </c>
      <c r="C110" t="s">
        <v>79</v>
      </c>
      <c r="D110" t="s">
        <v>39</v>
      </c>
      <c r="E110" t="s">
        <v>40</v>
      </c>
      <c r="F110" t="s">
        <v>41</v>
      </c>
      <c r="G110" t="s">
        <v>82</v>
      </c>
      <c r="H110" t="s">
        <v>135</v>
      </c>
      <c r="I110">
        <v>5</v>
      </c>
      <c r="J110" s="3">
        <v>535.24</v>
      </c>
      <c r="K110" s="3">
        <v>2676.2</v>
      </c>
      <c r="L110" s="3">
        <v>2243.02</v>
      </c>
      <c r="M110" s="3">
        <v>433.18</v>
      </c>
      <c r="N110" t="s">
        <v>36</v>
      </c>
    </row>
    <row r="111" spans="1:14" x14ac:dyDescent="0.3">
      <c r="A111" t="s">
        <v>213</v>
      </c>
      <c r="B111" s="2">
        <v>45566</v>
      </c>
      <c r="C111" t="s">
        <v>38</v>
      </c>
      <c r="D111" t="s">
        <v>16</v>
      </c>
      <c r="E111" t="s">
        <v>47</v>
      </c>
      <c r="F111" t="s">
        <v>48</v>
      </c>
      <c r="G111" t="s">
        <v>34</v>
      </c>
      <c r="H111" t="s">
        <v>35</v>
      </c>
      <c r="I111">
        <v>5</v>
      </c>
      <c r="J111" s="3">
        <v>2440.5100000000002</v>
      </c>
      <c r="K111" s="3">
        <v>12202.55</v>
      </c>
      <c r="L111" s="3">
        <v>9856.1200000000008</v>
      </c>
      <c r="M111" s="3">
        <v>2346.4299999999998</v>
      </c>
      <c r="N111" t="s">
        <v>21</v>
      </c>
    </row>
    <row r="112" spans="1:14" x14ac:dyDescent="0.3">
      <c r="A112" t="s">
        <v>214</v>
      </c>
      <c r="B112" s="2">
        <v>45637</v>
      </c>
      <c r="C112" t="s">
        <v>56</v>
      </c>
      <c r="D112" t="s">
        <v>39</v>
      </c>
      <c r="E112" t="s">
        <v>70</v>
      </c>
      <c r="F112" t="s">
        <v>71</v>
      </c>
      <c r="G112" t="s">
        <v>27</v>
      </c>
      <c r="H112" t="s">
        <v>91</v>
      </c>
      <c r="I112">
        <v>3</v>
      </c>
      <c r="J112" s="3">
        <v>3249.15</v>
      </c>
      <c r="K112" s="3">
        <v>9747.4500000000007</v>
      </c>
      <c r="L112" s="3">
        <v>7059.82</v>
      </c>
      <c r="M112" s="3">
        <v>2687.63</v>
      </c>
      <c r="N112" t="s">
        <v>29</v>
      </c>
    </row>
    <row r="113" spans="1:14" x14ac:dyDescent="0.3">
      <c r="A113" t="s">
        <v>215</v>
      </c>
      <c r="B113" s="2">
        <v>45529</v>
      </c>
      <c r="C113" t="s">
        <v>51</v>
      </c>
      <c r="D113" t="s">
        <v>65</v>
      </c>
      <c r="E113" t="s">
        <v>131</v>
      </c>
      <c r="F113" t="s">
        <v>132</v>
      </c>
      <c r="G113" t="s">
        <v>27</v>
      </c>
      <c r="H113" t="s">
        <v>68</v>
      </c>
      <c r="I113">
        <v>1</v>
      </c>
      <c r="J113" s="3">
        <v>17295.71</v>
      </c>
      <c r="K113" s="3">
        <v>17295.71</v>
      </c>
      <c r="L113" s="3">
        <v>13465.14</v>
      </c>
      <c r="M113" s="3">
        <v>3830.57</v>
      </c>
      <c r="N113" t="s">
        <v>62</v>
      </c>
    </row>
    <row r="114" spans="1:14" x14ac:dyDescent="0.3">
      <c r="A114" t="s">
        <v>216</v>
      </c>
      <c r="B114" s="2">
        <v>45567</v>
      </c>
      <c r="C114" t="s">
        <v>31</v>
      </c>
      <c r="D114" t="s">
        <v>39</v>
      </c>
      <c r="E114" t="s">
        <v>70</v>
      </c>
      <c r="F114" t="s">
        <v>71</v>
      </c>
      <c r="G114" t="s">
        <v>34</v>
      </c>
      <c r="H114" t="s">
        <v>94</v>
      </c>
      <c r="I114">
        <v>4</v>
      </c>
      <c r="J114" s="3">
        <v>1424.46</v>
      </c>
      <c r="K114" s="3">
        <v>5697.84</v>
      </c>
      <c r="L114" s="3">
        <v>4702.54</v>
      </c>
      <c r="M114" s="3">
        <v>995.3</v>
      </c>
      <c r="N114" t="s">
        <v>29</v>
      </c>
    </row>
    <row r="115" spans="1:14" x14ac:dyDescent="0.3">
      <c r="A115" t="s">
        <v>217</v>
      </c>
      <c r="B115" s="2">
        <v>45342</v>
      </c>
      <c r="C115" t="s">
        <v>102</v>
      </c>
      <c r="D115" t="s">
        <v>24</v>
      </c>
      <c r="E115" t="s">
        <v>47</v>
      </c>
      <c r="F115" t="s">
        <v>73</v>
      </c>
      <c r="G115" t="s">
        <v>42</v>
      </c>
      <c r="H115" t="s">
        <v>43</v>
      </c>
      <c r="I115">
        <v>1</v>
      </c>
      <c r="J115" s="3">
        <v>2906.56</v>
      </c>
      <c r="K115" s="3">
        <v>2906.56</v>
      </c>
      <c r="L115" s="3">
        <v>2102.7600000000002</v>
      </c>
      <c r="M115" s="3">
        <v>803.8</v>
      </c>
      <c r="N115" t="s">
        <v>62</v>
      </c>
    </row>
    <row r="116" spans="1:14" x14ac:dyDescent="0.3">
      <c r="A116" t="s">
        <v>218</v>
      </c>
      <c r="B116" s="2">
        <v>45477</v>
      </c>
      <c r="C116" t="s">
        <v>51</v>
      </c>
      <c r="D116" t="s">
        <v>16</v>
      </c>
      <c r="E116" t="s">
        <v>80</v>
      </c>
      <c r="F116" t="s">
        <v>81</v>
      </c>
      <c r="G116" t="s">
        <v>34</v>
      </c>
      <c r="H116" t="s">
        <v>35</v>
      </c>
      <c r="I116">
        <v>1</v>
      </c>
      <c r="J116" s="3">
        <v>2449.0700000000002</v>
      </c>
      <c r="K116" s="3">
        <v>2449.0700000000002</v>
      </c>
      <c r="L116" s="3">
        <v>1758.34</v>
      </c>
      <c r="M116" s="3">
        <v>690.73</v>
      </c>
      <c r="N116" t="s">
        <v>54</v>
      </c>
    </row>
    <row r="117" spans="1:14" x14ac:dyDescent="0.3">
      <c r="A117" t="s">
        <v>219</v>
      </c>
      <c r="B117" s="2">
        <v>45338</v>
      </c>
      <c r="C117" t="s">
        <v>23</v>
      </c>
      <c r="D117" t="s">
        <v>39</v>
      </c>
      <c r="E117" t="s">
        <v>52</v>
      </c>
      <c r="F117" t="s">
        <v>53</v>
      </c>
      <c r="G117" t="s">
        <v>27</v>
      </c>
      <c r="H117" t="s">
        <v>59</v>
      </c>
      <c r="I117">
        <v>2</v>
      </c>
      <c r="J117" s="3">
        <v>2744.41</v>
      </c>
      <c r="K117" s="3">
        <v>5488.82</v>
      </c>
      <c r="L117" s="3">
        <v>4596.3100000000004</v>
      </c>
      <c r="M117" s="3">
        <v>892.51</v>
      </c>
      <c r="N117" t="s">
        <v>21</v>
      </c>
    </row>
    <row r="118" spans="1:14" x14ac:dyDescent="0.3">
      <c r="A118" t="s">
        <v>220</v>
      </c>
      <c r="B118" s="2">
        <v>45575</v>
      </c>
      <c r="C118" t="s">
        <v>46</v>
      </c>
      <c r="D118" t="s">
        <v>39</v>
      </c>
      <c r="E118" t="s">
        <v>40</v>
      </c>
      <c r="F118" t="s">
        <v>41</v>
      </c>
      <c r="G118" t="s">
        <v>82</v>
      </c>
      <c r="H118" t="s">
        <v>100</v>
      </c>
      <c r="I118">
        <v>3</v>
      </c>
      <c r="J118" s="3">
        <v>949.39</v>
      </c>
      <c r="K118" s="3">
        <v>2848.17</v>
      </c>
      <c r="L118" s="3">
        <v>2385.9899999999998</v>
      </c>
      <c r="M118" s="3">
        <v>462.18</v>
      </c>
      <c r="N118" t="s">
        <v>21</v>
      </c>
    </row>
    <row r="119" spans="1:14" x14ac:dyDescent="0.3">
      <c r="A119" t="s">
        <v>221</v>
      </c>
      <c r="B119" s="2">
        <v>45433</v>
      </c>
      <c r="C119" t="s">
        <v>79</v>
      </c>
      <c r="D119" t="s">
        <v>39</v>
      </c>
      <c r="E119" t="s">
        <v>40</v>
      </c>
      <c r="F119" t="s">
        <v>41</v>
      </c>
      <c r="G119" t="s">
        <v>34</v>
      </c>
      <c r="H119" t="s">
        <v>74</v>
      </c>
      <c r="I119">
        <v>1</v>
      </c>
      <c r="J119" s="3">
        <v>1651.54</v>
      </c>
      <c r="K119" s="3">
        <v>1651.54</v>
      </c>
      <c r="L119" s="3">
        <v>1131.56</v>
      </c>
      <c r="M119" s="3">
        <v>519.98</v>
      </c>
      <c r="N119" t="s">
        <v>36</v>
      </c>
    </row>
    <row r="120" spans="1:14" x14ac:dyDescent="0.3">
      <c r="A120" t="s">
        <v>222</v>
      </c>
      <c r="B120" s="2">
        <v>45413</v>
      </c>
      <c r="C120" t="s">
        <v>56</v>
      </c>
      <c r="D120" t="s">
        <v>65</v>
      </c>
      <c r="E120" t="s">
        <v>66</v>
      </c>
      <c r="F120" t="s">
        <v>67</v>
      </c>
      <c r="G120" t="s">
        <v>27</v>
      </c>
      <c r="H120" t="s">
        <v>68</v>
      </c>
      <c r="I120">
        <v>2</v>
      </c>
      <c r="J120" s="3">
        <v>18870.189999999999</v>
      </c>
      <c r="K120" s="3">
        <v>37740.379999999997</v>
      </c>
      <c r="L120" s="3">
        <v>29634.39</v>
      </c>
      <c r="M120" s="3">
        <v>8105.99</v>
      </c>
      <c r="N120" t="s">
        <v>54</v>
      </c>
    </row>
    <row r="121" spans="1:14" x14ac:dyDescent="0.3">
      <c r="A121" t="s">
        <v>223</v>
      </c>
      <c r="B121" s="2">
        <v>45521</v>
      </c>
      <c r="C121" t="s">
        <v>139</v>
      </c>
      <c r="D121" t="s">
        <v>65</v>
      </c>
      <c r="E121" t="s">
        <v>66</v>
      </c>
      <c r="F121" t="s">
        <v>67</v>
      </c>
      <c r="G121" t="s">
        <v>34</v>
      </c>
      <c r="H121" t="s">
        <v>74</v>
      </c>
      <c r="I121">
        <v>5</v>
      </c>
      <c r="J121" s="3">
        <v>1453.88</v>
      </c>
      <c r="K121" s="3">
        <v>7269.4</v>
      </c>
      <c r="L121" s="3">
        <v>6081.91</v>
      </c>
      <c r="M121" s="3">
        <v>1187.49</v>
      </c>
      <c r="N121" t="s">
        <v>36</v>
      </c>
    </row>
    <row r="122" spans="1:14" x14ac:dyDescent="0.3">
      <c r="A122" t="s">
        <v>224</v>
      </c>
      <c r="B122" s="2">
        <v>45526</v>
      </c>
      <c r="C122" t="s">
        <v>102</v>
      </c>
      <c r="D122" t="s">
        <v>16</v>
      </c>
      <c r="E122" t="s">
        <v>17</v>
      </c>
      <c r="F122" t="s">
        <v>18</v>
      </c>
      <c r="G122" t="s">
        <v>42</v>
      </c>
      <c r="H122" t="s">
        <v>187</v>
      </c>
      <c r="I122">
        <v>4</v>
      </c>
      <c r="J122" s="3">
        <v>881.64</v>
      </c>
      <c r="K122" s="3">
        <v>3526.56</v>
      </c>
      <c r="L122" s="3">
        <v>2743.85</v>
      </c>
      <c r="M122" s="3">
        <v>782.71</v>
      </c>
      <c r="N122" t="s">
        <v>21</v>
      </c>
    </row>
    <row r="123" spans="1:14" x14ac:dyDescent="0.3">
      <c r="A123" t="s">
        <v>225</v>
      </c>
      <c r="B123" s="2">
        <v>45333</v>
      </c>
      <c r="C123" t="s">
        <v>93</v>
      </c>
      <c r="D123" t="s">
        <v>65</v>
      </c>
      <c r="E123" t="s">
        <v>123</v>
      </c>
      <c r="F123" t="s">
        <v>124</v>
      </c>
      <c r="G123" t="s">
        <v>27</v>
      </c>
      <c r="H123" t="s">
        <v>59</v>
      </c>
      <c r="I123">
        <v>5</v>
      </c>
      <c r="J123" s="3">
        <v>2566.54</v>
      </c>
      <c r="K123" s="3">
        <v>12832.7</v>
      </c>
      <c r="L123" s="3">
        <v>10133.61</v>
      </c>
      <c r="M123" s="3">
        <v>2699.09</v>
      </c>
      <c r="N123" t="s">
        <v>54</v>
      </c>
    </row>
    <row r="124" spans="1:14" x14ac:dyDescent="0.3">
      <c r="A124" t="s">
        <v>226</v>
      </c>
      <c r="B124" s="2">
        <v>45597</v>
      </c>
      <c r="C124" t="s">
        <v>15</v>
      </c>
      <c r="D124" t="s">
        <v>65</v>
      </c>
      <c r="E124" t="s">
        <v>131</v>
      </c>
      <c r="F124" t="s">
        <v>132</v>
      </c>
      <c r="G124" t="s">
        <v>34</v>
      </c>
      <c r="H124" t="s">
        <v>49</v>
      </c>
      <c r="I124">
        <v>1</v>
      </c>
      <c r="J124" s="3">
        <v>3387.58</v>
      </c>
      <c r="K124" s="3">
        <v>3387.58</v>
      </c>
      <c r="L124" s="3">
        <v>2381.0700000000002</v>
      </c>
      <c r="M124" s="3">
        <v>1006.51</v>
      </c>
      <c r="N124" t="s">
        <v>29</v>
      </c>
    </row>
    <row r="125" spans="1:14" x14ac:dyDescent="0.3">
      <c r="A125" t="s">
        <v>227</v>
      </c>
      <c r="B125" s="2">
        <v>45402</v>
      </c>
      <c r="C125" t="s">
        <v>51</v>
      </c>
      <c r="D125" t="s">
        <v>24</v>
      </c>
      <c r="E125" t="s">
        <v>47</v>
      </c>
      <c r="F125" t="s">
        <v>73</v>
      </c>
      <c r="G125" t="s">
        <v>82</v>
      </c>
      <c r="H125" t="s">
        <v>135</v>
      </c>
      <c r="I125">
        <v>3</v>
      </c>
      <c r="J125" s="3">
        <v>586.02</v>
      </c>
      <c r="K125" s="3">
        <v>1758.06</v>
      </c>
      <c r="L125" s="3">
        <v>1335.68</v>
      </c>
      <c r="M125" s="3">
        <v>422.38</v>
      </c>
      <c r="N125" t="s">
        <v>36</v>
      </c>
    </row>
    <row r="126" spans="1:14" x14ac:dyDescent="0.3">
      <c r="A126" t="s">
        <v>228</v>
      </c>
      <c r="B126" s="2">
        <v>45510</v>
      </c>
      <c r="C126" t="s">
        <v>56</v>
      </c>
      <c r="D126" t="s">
        <v>65</v>
      </c>
      <c r="E126" t="s">
        <v>113</v>
      </c>
      <c r="F126" t="s">
        <v>114</v>
      </c>
      <c r="G126" t="s">
        <v>34</v>
      </c>
      <c r="H126" t="s">
        <v>74</v>
      </c>
      <c r="I126">
        <v>6</v>
      </c>
      <c r="J126" s="3">
        <v>1735.36</v>
      </c>
      <c r="K126" s="3">
        <v>10412.16</v>
      </c>
      <c r="L126" s="3">
        <v>7220.07</v>
      </c>
      <c r="M126" s="3">
        <v>3192.09</v>
      </c>
      <c r="N126" t="s">
        <v>21</v>
      </c>
    </row>
    <row r="127" spans="1:14" x14ac:dyDescent="0.3">
      <c r="A127" t="s">
        <v>229</v>
      </c>
      <c r="B127" s="2">
        <v>45513</v>
      </c>
      <c r="C127" t="s">
        <v>93</v>
      </c>
      <c r="D127" t="s">
        <v>16</v>
      </c>
      <c r="E127" t="s">
        <v>80</v>
      </c>
      <c r="F127" t="s">
        <v>81</v>
      </c>
      <c r="G127" t="s">
        <v>82</v>
      </c>
      <c r="H127" t="s">
        <v>200</v>
      </c>
      <c r="I127">
        <v>1</v>
      </c>
      <c r="J127" s="3">
        <v>1831.13</v>
      </c>
      <c r="K127" s="3">
        <v>1831.13</v>
      </c>
      <c r="L127" s="3">
        <v>1450.84</v>
      </c>
      <c r="M127" s="3">
        <v>380.29</v>
      </c>
      <c r="N127" t="s">
        <v>29</v>
      </c>
    </row>
    <row r="128" spans="1:14" x14ac:dyDescent="0.3">
      <c r="A128" t="s">
        <v>230</v>
      </c>
      <c r="B128" s="2">
        <v>45354</v>
      </c>
      <c r="C128" t="s">
        <v>86</v>
      </c>
      <c r="D128" t="s">
        <v>24</v>
      </c>
      <c r="E128" t="s">
        <v>57</v>
      </c>
      <c r="F128" t="s">
        <v>58</v>
      </c>
      <c r="G128" t="s">
        <v>82</v>
      </c>
      <c r="H128" t="s">
        <v>135</v>
      </c>
      <c r="I128">
        <v>6</v>
      </c>
      <c r="J128" s="3">
        <v>500.66</v>
      </c>
      <c r="K128" s="3">
        <v>3003.96</v>
      </c>
      <c r="L128" s="3">
        <v>2215.5</v>
      </c>
      <c r="M128" s="3">
        <v>788.46</v>
      </c>
      <c r="N128" t="s">
        <v>36</v>
      </c>
    </row>
    <row r="129" spans="1:14" x14ac:dyDescent="0.3">
      <c r="A129" t="s">
        <v>231</v>
      </c>
      <c r="B129" s="2">
        <v>45345</v>
      </c>
      <c r="C129" t="s">
        <v>51</v>
      </c>
      <c r="D129" t="s">
        <v>39</v>
      </c>
      <c r="E129" t="s">
        <v>40</v>
      </c>
      <c r="F129" t="s">
        <v>41</v>
      </c>
      <c r="G129" t="s">
        <v>19</v>
      </c>
      <c r="H129" t="s">
        <v>20</v>
      </c>
      <c r="I129">
        <v>1</v>
      </c>
      <c r="J129" s="3">
        <v>6305.15</v>
      </c>
      <c r="K129" s="3">
        <v>6305.15</v>
      </c>
      <c r="L129" s="3">
        <v>4988.97</v>
      </c>
      <c r="M129" s="3">
        <v>1316.18</v>
      </c>
      <c r="N129" t="s">
        <v>36</v>
      </c>
    </row>
    <row r="130" spans="1:14" x14ac:dyDescent="0.3">
      <c r="A130" t="s">
        <v>232</v>
      </c>
      <c r="B130" s="2">
        <v>45585</v>
      </c>
      <c r="C130" t="s">
        <v>46</v>
      </c>
      <c r="D130" t="s">
        <v>39</v>
      </c>
      <c r="E130" t="s">
        <v>70</v>
      </c>
      <c r="F130" t="s">
        <v>71</v>
      </c>
      <c r="G130" t="s">
        <v>82</v>
      </c>
      <c r="H130" t="s">
        <v>200</v>
      </c>
      <c r="I130">
        <v>5</v>
      </c>
      <c r="J130" s="3">
        <v>1862.99</v>
      </c>
      <c r="K130" s="3">
        <v>9314.9500000000007</v>
      </c>
      <c r="L130" s="3">
        <v>7371.37</v>
      </c>
      <c r="M130" s="3">
        <v>1943.58</v>
      </c>
      <c r="N130" t="s">
        <v>29</v>
      </c>
    </row>
    <row r="131" spans="1:14" x14ac:dyDescent="0.3">
      <c r="A131" t="s">
        <v>233</v>
      </c>
      <c r="B131" s="2">
        <v>45647</v>
      </c>
      <c r="C131" t="s">
        <v>89</v>
      </c>
      <c r="D131" t="s">
        <v>65</v>
      </c>
      <c r="E131" t="s">
        <v>66</v>
      </c>
      <c r="F131" t="s">
        <v>67</v>
      </c>
      <c r="G131" t="s">
        <v>27</v>
      </c>
      <c r="H131" t="s">
        <v>59</v>
      </c>
      <c r="I131">
        <v>3</v>
      </c>
      <c r="J131" s="3">
        <v>2425.5100000000002</v>
      </c>
      <c r="K131" s="3">
        <v>7276.53</v>
      </c>
      <c r="L131" s="3">
        <v>5212.04</v>
      </c>
      <c r="M131" s="3">
        <v>2064.4899999999998</v>
      </c>
      <c r="N131" t="s">
        <v>44</v>
      </c>
    </row>
    <row r="132" spans="1:14" x14ac:dyDescent="0.3">
      <c r="A132" t="s">
        <v>234</v>
      </c>
      <c r="B132" s="2">
        <v>45628</v>
      </c>
      <c r="C132" t="s">
        <v>31</v>
      </c>
      <c r="D132" t="s">
        <v>24</v>
      </c>
      <c r="E132" t="s">
        <v>25</v>
      </c>
      <c r="F132" t="s">
        <v>26</v>
      </c>
      <c r="G132" t="s">
        <v>27</v>
      </c>
      <c r="H132" t="s">
        <v>68</v>
      </c>
      <c r="I132">
        <v>1</v>
      </c>
      <c r="J132" s="3">
        <v>18886</v>
      </c>
      <c r="K132" s="3">
        <v>18886</v>
      </c>
      <c r="L132" s="3">
        <v>13655.08</v>
      </c>
      <c r="M132" s="3">
        <v>5230.92</v>
      </c>
      <c r="N132" t="s">
        <v>54</v>
      </c>
    </row>
    <row r="133" spans="1:14" x14ac:dyDescent="0.3">
      <c r="A133" t="s">
        <v>235</v>
      </c>
      <c r="B133" s="2">
        <v>45466</v>
      </c>
      <c r="C133" t="s">
        <v>89</v>
      </c>
      <c r="D133" t="s">
        <v>39</v>
      </c>
      <c r="E133" t="s">
        <v>97</v>
      </c>
      <c r="F133" t="s">
        <v>98</v>
      </c>
      <c r="G133" t="s">
        <v>34</v>
      </c>
      <c r="H133" t="s">
        <v>35</v>
      </c>
      <c r="I133">
        <v>5</v>
      </c>
      <c r="J133" s="3">
        <v>2548.11</v>
      </c>
      <c r="K133" s="3">
        <v>12740.55</v>
      </c>
      <c r="L133" s="3">
        <v>10914.43</v>
      </c>
      <c r="M133" s="3">
        <v>1826.12</v>
      </c>
      <c r="N133" t="s">
        <v>62</v>
      </c>
    </row>
    <row r="134" spans="1:14" x14ac:dyDescent="0.3">
      <c r="A134" t="s">
        <v>236</v>
      </c>
      <c r="B134" s="2">
        <v>45608</v>
      </c>
      <c r="C134" t="s">
        <v>23</v>
      </c>
      <c r="D134" t="s">
        <v>16</v>
      </c>
      <c r="E134" t="s">
        <v>17</v>
      </c>
      <c r="F134" t="s">
        <v>18</v>
      </c>
      <c r="G134" t="s">
        <v>27</v>
      </c>
      <c r="H134" t="s">
        <v>61</v>
      </c>
      <c r="I134">
        <v>4</v>
      </c>
      <c r="J134" s="3">
        <v>4596.37</v>
      </c>
      <c r="K134" s="3">
        <v>18385.48</v>
      </c>
      <c r="L134" s="3">
        <v>14025.12</v>
      </c>
      <c r="M134" s="3">
        <v>4360.3599999999997</v>
      </c>
      <c r="N134" t="s">
        <v>44</v>
      </c>
    </row>
    <row r="135" spans="1:14" x14ac:dyDescent="0.3">
      <c r="A135" t="s">
        <v>237</v>
      </c>
      <c r="B135" s="2">
        <v>45350</v>
      </c>
      <c r="C135" t="s">
        <v>134</v>
      </c>
      <c r="D135" t="s">
        <v>65</v>
      </c>
      <c r="E135" t="s">
        <v>131</v>
      </c>
      <c r="F135" t="s">
        <v>132</v>
      </c>
      <c r="G135" t="s">
        <v>27</v>
      </c>
      <c r="H135" t="s">
        <v>91</v>
      </c>
      <c r="I135">
        <v>4</v>
      </c>
      <c r="J135" s="3">
        <v>3016.16</v>
      </c>
      <c r="K135" s="3">
        <v>12064.64</v>
      </c>
      <c r="L135" s="3">
        <v>8948.15</v>
      </c>
      <c r="M135" s="3">
        <v>3116.49</v>
      </c>
      <c r="N135" t="s">
        <v>54</v>
      </c>
    </row>
    <row r="136" spans="1:14" x14ac:dyDescent="0.3">
      <c r="A136" t="s">
        <v>238</v>
      </c>
      <c r="B136" s="2">
        <v>45598</v>
      </c>
      <c r="C136" t="s">
        <v>51</v>
      </c>
      <c r="D136" t="s">
        <v>16</v>
      </c>
      <c r="E136" t="s">
        <v>17</v>
      </c>
      <c r="F136" t="s">
        <v>18</v>
      </c>
      <c r="G136" t="s">
        <v>27</v>
      </c>
      <c r="H136" t="s">
        <v>28</v>
      </c>
      <c r="I136">
        <v>2</v>
      </c>
      <c r="J136" s="3">
        <v>57905.77</v>
      </c>
      <c r="K136" s="3">
        <v>115811.54</v>
      </c>
      <c r="L136" s="3">
        <v>85456.11</v>
      </c>
      <c r="M136" s="3">
        <v>30355.43</v>
      </c>
      <c r="N136" t="s">
        <v>21</v>
      </c>
    </row>
    <row r="137" spans="1:14" x14ac:dyDescent="0.3">
      <c r="A137" t="s">
        <v>239</v>
      </c>
      <c r="B137" s="2">
        <v>45546</v>
      </c>
      <c r="C137" t="s">
        <v>38</v>
      </c>
      <c r="D137" t="s">
        <v>24</v>
      </c>
      <c r="E137" t="s">
        <v>32</v>
      </c>
      <c r="F137" t="s">
        <v>33</v>
      </c>
      <c r="G137" t="s">
        <v>27</v>
      </c>
      <c r="H137" t="s">
        <v>91</v>
      </c>
      <c r="I137">
        <v>6</v>
      </c>
      <c r="J137" s="3">
        <v>2838.07</v>
      </c>
      <c r="K137" s="3">
        <v>17028.419999999998</v>
      </c>
      <c r="L137" s="3">
        <v>13482.16</v>
      </c>
      <c r="M137" s="3">
        <v>3546.26</v>
      </c>
      <c r="N137" t="s">
        <v>21</v>
      </c>
    </row>
    <row r="138" spans="1:14" x14ac:dyDescent="0.3">
      <c r="A138" t="s">
        <v>240</v>
      </c>
      <c r="B138" s="2">
        <v>45495</v>
      </c>
      <c r="C138" t="s">
        <v>31</v>
      </c>
      <c r="D138" t="s">
        <v>16</v>
      </c>
      <c r="E138" t="s">
        <v>47</v>
      </c>
      <c r="F138" t="s">
        <v>48</v>
      </c>
      <c r="G138" t="s">
        <v>27</v>
      </c>
      <c r="H138" t="s">
        <v>68</v>
      </c>
      <c r="I138">
        <v>3</v>
      </c>
      <c r="J138" s="3">
        <v>18272.73</v>
      </c>
      <c r="K138" s="3">
        <v>54818.19</v>
      </c>
      <c r="L138" s="3">
        <v>43562.92</v>
      </c>
      <c r="M138" s="3">
        <v>11255.27</v>
      </c>
      <c r="N138" t="s">
        <v>36</v>
      </c>
    </row>
    <row r="139" spans="1:14" x14ac:dyDescent="0.3">
      <c r="A139" t="s">
        <v>241</v>
      </c>
      <c r="B139" s="2">
        <v>45350</v>
      </c>
      <c r="C139" t="s">
        <v>38</v>
      </c>
      <c r="D139" t="s">
        <v>24</v>
      </c>
      <c r="E139" t="s">
        <v>25</v>
      </c>
      <c r="F139" t="s">
        <v>26</v>
      </c>
      <c r="G139" t="s">
        <v>42</v>
      </c>
      <c r="H139" t="s">
        <v>106</v>
      </c>
      <c r="I139">
        <v>5</v>
      </c>
      <c r="J139" s="3">
        <v>892.82</v>
      </c>
      <c r="K139" s="3">
        <v>4464.1000000000004</v>
      </c>
      <c r="L139" s="3">
        <v>3651.29</v>
      </c>
      <c r="M139" s="3">
        <v>812.81</v>
      </c>
      <c r="N139" t="s">
        <v>21</v>
      </c>
    </row>
    <row r="140" spans="1:14" x14ac:dyDescent="0.3">
      <c r="A140" t="s">
        <v>242</v>
      </c>
      <c r="B140" s="2">
        <v>45515</v>
      </c>
      <c r="C140" t="s">
        <v>93</v>
      </c>
      <c r="D140" t="s">
        <v>16</v>
      </c>
      <c r="E140" t="s">
        <v>117</v>
      </c>
      <c r="F140" t="s">
        <v>118</v>
      </c>
      <c r="G140" t="s">
        <v>34</v>
      </c>
      <c r="H140" t="s">
        <v>49</v>
      </c>
      <c r="I140">
        <v>5</v>
      </c>
      <c r="J140" s="3">
        <v>2930.33</v>
      </c>
      <c r="K140" s="3">
        <v>14651.65</v>
      </c>
      <c r="L140" s="3">
        <v>12514.05</v>
      </c>
      <c r="M140" s="3">
        <v>2137.6</v>
      </c>
      <c r="N140" t="s">
        <v>62</v>
      </c>
    </row>
    <row r="141" spans="1:14" x14ac:dyDescent="0.3">
      <c r="A141" t="s">
        <v>243</v>
      </c>
      <c r="B141" s="2">
        <v>45462</v>
      </c>
      <c r="C141" t="s">
        <v>38</v>
      </c>
      <c r="D141" t="s">
        <v>39</v>
      </c>
      <c r="E141" t="s">
        <v>52</v>
      </c>
      <c r="F141" t="s">
        <v>53</v>
      </c>
      <c r="G141" t="s">
        <v>34</v>
      </c>
      <c r="H141" t="s">
        <v>87</v>
      </c>
      <c r="I141">
        <v>5</v>
      </c>
      <c r="J141" s="3">
        <v>701.39</v>
      </c>
      <c r="K141" s="3">
        <v>3506.95</v>
      </c>
      <c r="L141" s="3">
        <v>3020.13</v>
      </c>
      <c r="M141" s="3">
        <v>486.82</v>
      </c>
      <c r="N141" t="s">
        <v>36</v>
      </c>
    </row>
    <row r="142" spans="1:14" x14ac:dyDescent="0.3">
      <c r="A142" t="s">
        <v>244</v>
      </c>
      <c r="B142" s="2">
        <v>45622</v>
      </c>
      <c r="C142" t="s">
        <v>56</v>
      </c>
      <c r="D142" t="s">
        <v>39</v>
      </c>
      <c r="E142" t="s">
        <v>40</v>
      </c>
      <c r="F142" t="s">
        <v>41</v>
      </c>
      <c r="G142" t="s">
        <v>27</v>
      </c>
      <c r="H142" t="s">
        <v>59</v>
      </c>
      <c r="I142">
        <v>2</v>
      </c>
      <c r="J142" s="3">
        <v>2336.75</v>
      </c>
      <c r="K142" s="3">
        <v>4673.5</v>
      </c>
      <c r="L142" s="3">
        <v>3320.87</v>
      </c>
      <c r="M142" s="3">
        <v>1352.63</v>
      </c>
      <c r="N142" t="s">
        <v>62</v>
      </c>
    </row>
    <row r="143" spans="1:14" x14ac:dyDescent="0.3">
      <c r="A143" t="s">
        <v>245</v>
      </c>
      <c r="B143" s="2">
        <v>45613</v>
      </c>
      <c r="C143" t="s">
        <v>46</v>
      </c>
      <c r="D143" t="s">
        <v>24</v>
      </c>
      <c r="E143" t="s">
        <v>47</v>
      </c>
      <c r="F143" t="s">
        <v>73</v>
      </c>
      <c r="G143" t="s">
        <v>82</v>
      </c>
      <c r="H143" t="s">
        <v>200</v>
      </c>
      <c r="I143">
        <v>4</v>
      </c>
      <c r="J143" s="3">
        <v>1865.21</v>
      </c>
      <c r="K143" s="3">
        <v>7460.84</v>
      </c>
      <c r="L143" s="3">
        <v>6389.54</v>
      </c>
      <c r="M143" s="3">
        <v>1071.3</v>
      </c>
      <c r="N143" t="s">
        <v>36</v>
      </c>
    </row>
    <row r="144" spans="1:14" x14ac:dyDescent="0.3">
      <c r="A144" t="s">
        <v>246</v>
      </c>
      <c r="B144" s="2">
        <v>45613</v>
      </c>
      <c r="C144" t="s">
        <v>64</v>
      </c>
      <c r="D144" t="s">
        <v>65</v>
      </c>
      <c r="E144" t="s">
        <v>123</v>
      </c>
      <c r="F144" t="s">
        <v>124</v>
      </c>
      <c r="G144" t="s">
        <v>34</v>
      </c>
      <c r="H144" t="s">
        <v>49</v>
      </c>
      <c r="I144">
        <v>4</v>
      </c>
      <c r="J144" s="3">
        <v>3284.09</v>
      </c>
      <c r="K144" s="3">
        <v>13136.36</v>
      </c>
      <c r="L144" s="3">
        <v>11024.9</v>
      </c>
      <c r="M144" s="3">
        <v>2111.46</v>
      </c>
      <c r="N144" t="s">
        <v>21</v>
      </c>
    </row>
    <row r="145" spans="1:14" x14ac:dyDescent="0.3">
      <c r="A145" t="s">
        <v>247</v>
      </c>
      <c r="B145" s="2">
        <v>45472</v>
      </c>
      <c r="C145" t="s">
        <v>56</v>
      </c>
      <c r="D145" t="s">
        <v>16</v>
      </c>
      <c r="E145" t="s">
        <v>80</v>
      </c>
      <c r="F145" t="s">
        <v>81</v>
      </c>
      <c r="G145" t="s">
        <v>34</v>
      </c>
      <c r="H145" t="s">
        <v>87</v>
      </c>
      <c r="I145">
        <v>1</v>
      </c>
      <c r="J145" s="3">
        <v>681.62</v>
      </c>
      <c r="K145" s="3">
        <v>681.62</v>
      </c>
      <c r="L145" s="3">
        <v>502.64</v>
      </c>
      <c r="M145" s="3">
        <v>178.98</v>
      </c>
      <c r="N145" t="s">
        <v>44</v>
      </c>
    </row>
    <row r="146" spans="1:14" x14ac:dyDescent="0.3">
      <c r="A146" t="s">
        <v>248</v>
      </c>
      <c r="B146" s="2">
        <v>45596</v>
      </c>
      <c r="C146" t="s">
        <v>23</v>
      </c>
      <c r="D146" t="s">
        <v>24</v>
      </c>
      <c r="E146" t="s">
        <v>47</v>
      </c>
      <c r="F146" t="s">
        <v>73</v>
      </c>
      <c r="G146" t="s">
        <v>19</v>
      </c>
      <c r="H146" t="s">
        <v>147</v>
      </c>
      <c r="I146">
        <v>4</v>
      </c>
      <c r="J146" s="3">
        <v>3029.07</v>
      </c>
      <c r="K146" s="3">
        <v>12116.28</v>
      </c>
      <c r="L146" s="3">
        <v>9624.34</v>
      </c>
      <c r="M146" s="3">
        <v>2491.94</v>
      </c>
      <c r="N146" t="s">
        <v>36</v>
      </c>
    </row>
    <row r="147" spans="1:14" x14ac:dyDescent="0.3">
      <c r="A147" t="s">
        <v>249</v>
      </c>
      <c r="B147" s="2">
        <v>45601</v>
      </c>
      <c r="C147" t="s">
        <v>56</v>
      </c>
      <c r="D147" t="s">
        <v>24</v>
      </c>
      <c r="E147" t="s">
        <v>32</v>
      </c>
      <c r="F147" t="s">
        <v>33</v>
      </c>
      <c r="G147" t="s">
        <v>42</v>
      </c>
      <c r="H147" t="s">
        <v>187</v>
      </c>
      <c r="I147">
        <v>1</v>
      </c>
      <c r="J147" s="3">
        <v>902.86</v>
      </c>
      <c r="K147" s="3">
        <v>902.86</v>
      </c>
      <c r="L147" s="3">
        <v>765.15</v>
      </c>
      <c r="M147" s="3">
        <v>137.71</v>
      </c>
      <c r="N147" t="s">
        <v>44</v>
      </c>
    </row>
    <row r="148" spans="1:14" x14ac:dyDescent="0.3">
      <c r="A148" t="s">
        <v>250</v>
      </c>
      <c r="B148" s="2">
        <v>45622</v>
      </c>
      <c r="C148" t="s">
        <v>38</v>
      </c>
      <c r="D148" t="s">
        <v>39</v>
      </c>
      <c r="E148" t="s">
        <v>52</v>
      </c>
      <c r="F148" t="s">
        <v>53</v>
      </c>
      <c r="G148" t="s">
        <v>27</v>
      </c>
      <c r="H148" t="s">
        <v>61</v>
      </c>
      <c r="I148">
        <v>4</v>
      </c>
      <c r="J148" s="3">
        <v>4521.66</v>
      </c>
      <c r="K148" s="3">
        <v>18086.64</v>
      </c>
      <c r="L148" s="3">
        <v>14504.78</v>
      </c>
      <c r="M148" s="3">
        <v>3581.86</v>
      </c>
      <c r="N148" t="s">
        <v>36</v>
      </c>
    </row>
    <row r="149" spans="1:14" x14ac:dyDescent="0.3">
      <c r="A149" t="s">
        <v>251</v>
      </c>
      <c r="B149" s="2">
        <v>45436</v>
      </c>
      <c r="C149" t="s">
        <v>56</v>
      </c>
      <c r="D149" t="s">
        <v>24</v>
      </c>
      <c r="E149" t="s">
        <v>47</v>
      </c>
      <c r="F149" t="s">
        <v>73</v>
      </c>
      <c r="G149" t="s">
        <v>82</v>
      </c>
      <c r="H149" t="s">
        <v>200</v>
      </c>
      <c r="I149">
        <v>1</v>
      </c>
      <c r="J149" s="3">
        <v>1904.12</v>
      </c>
      <c r="K149" s="3">
        <v>1904.12</v>
      </c>
      <c r="L149" s="3">
        <v>1541.31</v>
      </c>
      <c r="M149" s="3">
        <v>362.81</v>
      </c>
      <c r="N149" t="s">
        <v>36</v>
      </c>
    </row>
    <row r="150" spans="1:14" x14ac:dyDescent="0.3">
      <c r="A150" t="s">
        <v>252</v>
      </c>
      <c r="B150" s="2">
        <v>45340</v>
      </c>
      <c r="C150" t="s">
        <v>89</v>
      </c>
      <c r="D150" t="s">
        <v>24</v>
      </c>
      <c r="E150" t="s">
        <v>57</v>
      </c>
      <c r="F150" t="s">
        <v>58</v>
      </c>
      <c r="G150" t="s">
        <v>27</v>
      </c>
      <c r="H150" t="s">
        <v>91</v>
      </c>
      <c r="I150">
        <v>2</v>
      </c>
      <c r="J150" s="3">
        <v>2900.02</v>
      </c>
      <c r="K150" s="3">
        <v>5800.04</v>
      </c>
      <c r="L150" s="3">
        <v>4620.01</v>
      </c>
      <c r="M150" s="3">
        <v>1180.03</v>
      </c>
      <c r="N150" t="s">
        <v>36</v>
      </c>
    </row>
    <row r="151" spans="1:14" x14ac:dyDescent="0.3">
      <c r="A151" t="s">
        <v>253</v>
      </c>
      <c r="B151" s="2">
        <v>45450</v>
      </c>
      <c r="C151" t="s">
        <v>93</v>
      </c>
      <c r="D151" t="s">
        <v>24</v>
      </c>
      <c r="E151" t="s">
        <v>32</v>
      </c>
      <c r="F151" t="s">
        <v>33</v>
      </c>
      <c r="G151" t="s">
        <v>19</v>
      </c>
      <c r="H151" t="s">
        <v>147</v>
      </c>
      <c r="I151">
        <v>3</v>
      </c>
      <c r="J151" s="3">
        <v>2833</v>
      </c>
      <c r="K151" s="3">
        <v>8499</v>
      </c>
      <c r="L151" s="3">
        <v>6873.13</v>
      </c>
      <c r="M151" s="3">
        <v>1625.87</v>
      </c>
      <c r="N151" t="s">
        <v>62</v>
      </c>
    </row>
    <row r="152" spans="1:14" x14ac:dyDescent="0.3">
      <c r="A152" t="s">
        <v>254</v>
      </c>
      <c r="B152" s="2">
        <v>45635</v>
      </c>
      <c r="C152" t="s">
        <v>93</v>
      </c>
      <c r="D152" t="s">
        <v>16</v>
      </c>
      <c r="E152" t="s">
        <v>47</v>
      </c>
      <c r="F152" t="s">
        <v>48</v>
      </c>
      <c r="G152" t="s">
        <v>34</v>
      </c>
      <c r="H152" t="s">
        <v>87</v>
      </c>
      <c r="I152">
        <v>3</v>
      </c>
      <c r="J152" s="3">
        <v>673.24</v>
      </c>
      <c r="K152" s="3">
        <v>2019.72</v>
      </c>
      <c r="L152" s="3">
        <v>1757.63</v>
      </c>
      <c r="M152" s="3">
        <v>262.08999999999997</v>
      </c>
      <c r="N152" t="s">
        <v>54</v>
      </c>
    </row>
    <row r="153" spans="1:14" x14ac:dyDescent="0.3">
      <c r="A153" t="s">
        <v>255</v>
      </c>
      <c r="B153" s="2">
        <v>45390</v>
      </c>
      <c r="C153" t="s">
        <v>139</v>
      </c>
      <c r="D153" t="s">
        <v>39</v>
      </c>
      <c r="E153" t="s">
        <v>40</v>
      </c>
      <c r="F153" t="s">
        <v>41</v>
      </c>
      <c r="G153" t="s">
        <v>27</v>
      </c>
      <c r="H153" t="s">
        <v>59</v>
      </c>
      <c r="I153">
        <v>1</v>
      </c>
      <c r="J153" s="3">
        <v>2503.84</v>
      </c>
      <c r="K153" s="3">
        <v>2503.84</v>
      </c>
      <c r="L153" s="3">
        <v>1972.91</v>
      </c>
      <c r="M153" s="3">
        <v>530.92999999999995</v>
      </c>
      <c r="N153" t="s">
        <v>21</v>
      </c>
    </row>
    <row r="154" spans="1:14" x14ac:dyDescent="0.3">
      <c r="A154" t="s">
        <v>256</v>
      </c>
      <c r="B154" s="2">
        <v>45630</v>
      </c>
      <c r="C154" t="s">
        <v>46</v>
      </c>
      <c r="D154" t="s">
        <v>65</v>
      </c>
      <c r="E154" t="s">
        <v>123</v>
      </c>
      <c r="F154" t="s">
        <v>124</v>
      </c>
      <c r="G154" t="s">
        <v>19</v>
      </c>
      <c r="H154" t="s">
        <v>20</v>
      </c>
      <c r="I154">
        <v>2</v>
      </c>
      <c r="J154" s="3">
        <v>6085.1</v>
      </c>
      <c r="K154" s="3">
        <v>12170.2</v>
      </c>
      <c r="L154" s="3">
        <v>9962.15</v>
      </c>
      <c r="M154" s="3">
        <v>2208.0500000000002</v>
      </c>
      <c r="N154" t="s">
        <v>62</v>
      </c>
    </row>
    <row r="155" spans="1:14" x14ac:dyDescent="0.3">
      <c r="A155" t="s">
        <v>257</v>
      </c>
      <c r="B155" s="2">
        <v>45516</v>
      </c>
      <c r="C155" t="s">
        <v>102</v>
      </c>
      <c r="D155" t="s">
        <v>16</v>
      </c>
      <c r="E155" t="s">
        <v>47</v>
      </c>
      <c r="F155" t="s">
        <v>48</v>
      </c>
      <c r="G155" t="s">
        <v>34</v>
      </c>
      <c r="H155" t="s">
        <v>74</v>
      </c>
      <c r="I155">
        <v>4</v>
      </c>
      <c r="J155" s="3">
        <v>1635.39</v>
      </c>
      <c r="K155" s="3">
        <v>6541.56</v>
      </c>
      <c r="L155" s="3">
        <v>5432.62</v>
      </c>
      <c r="M155" s="3">
        <v>1108.94</v>
      </c>
      <c r="N155" t="s">
        <v>62</v>
      </c>
    </row>
    <row r="156" spans="1:14" x14ac:dyDescent="0.3">
      <c r="A156" t="s">
        <v>258</v>
      </c>
      <c r="B156" s="2">
        <v>45565</v>
      </c>
      <c r="C156" t="s">
        <v>102</v>
      </c>
      <c r="D156" t="s">
        <v>39</v>
      </c>
      <c r="E156" t="s">
        <v>97</v>
      </c>
      <c r="F156" t="s">
        <v>98</v>
      </c>
      <c r="G156" t="s">
        <v>42</v>
      </c>
      <c r="H156" t="s">
        <v>187</v>
      </c>
      <c r="I156">
        <v>2</v>
      </c>
      <c r="J156" s="3">
        <v>827.53</v>
      </c>
      <c r="K156" s="3">
        <v>1655.06</v>
      </c>
      <c r="L156" s="3">
        <v>1438.95</v>
      </c>
      <c r="M156" s="3">
        <v>216.11</v>
      </c>
      <c r="N156" t="s">
        <v>54</v>
      </c>
    </row>
    <row r="157" spans="1:14" x14ac:dyDescent="0.3">
      <c r="A157" t="s">
        <v>259</v>
      </c>
      <c r="B157" s="2">
        <v>45436</v>
      </c>
      <c r="C157" t="s">
        <v>122</v>
      </c>
      <c r="D157" t="s">
        <v>24</v>
      </c>
      <c r="E157" t="s">
        <v>47</v>
      </c>
      <c r="F157" t="s">
        <v>73</v>
      </c>
      <c r="G157" t="s">
        <v>42</v>
      </c>
      <c r="H157" t="s">
        <v>106</v>
      </c>
      <c r="I157">
        <v>5</v>
      </c>
      <c r="J157" s="3">
        <v>834.91</v>
      </c>
      <c r="K157" s="3">
        <v>4174.55</v>
      </c>
      <c r="L157" s="3">
        <v>3047.42</v>
      </c>
      <c r="M157" s="3">
        <v>1127.1300000000001</v>
      </c>
      <c r="N157" t="s">
        <v>36</v>
      </c>
    </row>
    <row r="158" spans="1:14" x14ac:dyDescent="0.3">
      <c r="A158" t="s">
        <v>260</v>
      </c>
      <c r="B158" s="2">
        <v>45575</v>
      </c>
      <c r="C158" t="s">
        <v>31</v>
      </c>
      <c r="D158" t="s">
        <v>16</v>
      </c>
      <c r="E158" t="s">
        <v>17</v>
      </c>
      <c r="F158" t="s">
        <v>18</v>
      </c>
      <c r="G158" t="s">
        <v>27</v>
      </c>
      <c r="H158" t="s">
        <v>28</v>
      </c>
      <c r="I158">
        <v>3</v>
      </c>
      <c r="J158" s="3">
        <v>54442.51</v>
      </c>
      <c r="K158" s="3">
        <v>163327.53</v>
      </c>
      <c r="L158" s="3">
        <v>127831.65</v>
      </c>
      <c r="M158" s="3">
        <v>35495.879999999997</v>
      </c>
      <c r="N158" t="s">
        <v>21</v>
      </c>
    </row>
    <row r="159" spans="1:14" x14ac:dyDescent="0.3">
      <c r="A159" t="s">
        <v>261</v>
      </c>
      <c r="B159" s="2">
        <v>45405</v>
      </c>
      <c r="C159" t="s">
        <v>105</v>
      </c>
      <c r="D159" t="s">
        <v>24</v>
      </c>
      <c r="E159" t="s">
        <v>57</v>
      </c>
      <c r="F159" t="s">
        <v>58</v>
      </c>
      <c r="G159" t="s">
        <v>42</v>
      </c>
      <c r="H159" t="s">
        <v>187</v>
      </c>
      <c r="I159">
        <v>1</v>
      </c>
      <c r="J159" s="3">
        <v>832.4</v>
      </c>
      <c r="K159" s="3">
        <v>832.4</v>
      </c>
      <c r="L159" s="3">
        <v>628.29</v>
      </c>
      <c r="M159" s="3">
        <v>204.11</v>
      </c>
      <c r="N159" t="s">
        <v>21</v>
      </c>
    </row>
    <row r="160" spans="1:14" x14ac:dyDescent="0.3">
      <c r="A160" t="s">
        <v>262</v>
      </c>
      <c r="B160" s="2">
        <v>45483</v>
      </c>
      <c r="C160" t="s">
        <v>89</v>
      </c>
      <c r="D160" t="s">
        <v>39</v>
      </c>
      <c r="E160" t="s">
        <v>52</v>
      </c>
      <c r="F160" t="s">
        <v>53</v>
      </c>
      <c r="G160" t="s">
        <v>34</v>
      </c>
      <c r="H160" t="s">
        <v>87</v>
      </c>
      <c r="I160">
        <v>6</v>
      </c>
      <c r="J160" s="3">
        <v>720.99</v>
      </c>
      <c r="K160" s="3">
        <v>4325.9399999999996</v>
      </c>
      <c r="L160" s="3">
        <v>3626.33</v>
      </c>
      <c r="M160" s="3">
        <v>699.61</v>
      </c>
      <c r="N160" t="s">
        <v>21</v>
      </c>
    </row>
    <row r="161" spans="1:14" x14ac:dyDescent="0.3">
      <c r="A161" t="s">
        <v>263</v>
      </c>
      <c r="B161" s="2">
        <v>45438</v>
      </c>
      <c r="C161" t="s">
        <v>79</v>
      </c>
      <c r="D161" t="s">
        <v>24</v>
      </c>
      <c r="E161" t="s">
        <v>32</v>
      </c>
      <c r="F161" t="s">
        <v>33</v>
      </c>
      <c r="G161" t="s">
        <v>82</v>
      </c>
      <c r="H161" t="s">
        <v>135</v>
      </c>
      <c r="I161">
        <v>4</v>
      </c>
      <c r="J161" s="3">
        <v>562.69000000000005</v>
      </c>
      <c r="K161" s="3">
        <v>2250.7600000000002</v>
      </c>
      <c r="L161" s="3">
        <v>1938.29</v>
      </c>
      <c r="M161" s="3">
        <v>312.47000000000003</v>
      </c>
      <c r="N161" t="s">
        <v>36</v>
      </c>
    </row>
    <row r="162" spans="1:14" x14ac:dyDescent="0.3">
      <c r="A162" t="s">
        <v>264</v>
      </c>
      <c r="B162" s="2">
        <v>45402</v>
      </c>
      <c r="C162" t="s">
        <v>31</v>
      </c>
      <c r="D162" t="s">
        <v>39</v>
      </c>
      <c r="E162" t="s">
        <v>70</v>
      </c>
      <c r="F162" t="s">
        <v>71</v>
      </c>
      <c r="G162" t="s">
        <v>27</v>
      </c>
      <c r="H162" t="s">
        <v>59</v>
      </c>
      <c r="I162">
        <v>2</v>
      </c>
      <c r="J162" s="3">
        <v>2400.58</v>
      </c>
      <c r="K162" s="3">
        <v>4801.16</v>
      </c>
      <c r="L162" s="3">
        <v>3310.64</v>
      </c>
      <c r="M162" s="3">
        <v>1490.52</v>
      </c>
      <c r="N162" t="s">
        <v>29</v>
      </c>
    </row>
    <row r="163" spans="1:14" x14ac:dyDescent="0.3">
      <c r="A163" t="s">
        <v>265</v>
      </c>
      <c r="B163" s="2">
        <v>45610</v>
      </c>
      <c r="C163" t="s">
        <v>64</v>
      </c>
      <c r="D163" t="s">
        <v>24</v>
      </c>
      <c r="E163" t="s">
        <v>25</v>
      </c>
      <c r="F163" t="s">
        <v>26</v>
      </c>
      <c r="G163" t="s">
        <v>27</v>
      </c>
      <c r="H163" t="s">
        <v>61</v>
      </c>
      <c r="I163">
        <v>5</v>
      </c>
      <c r="J163" s="3">
        <v>4532.45</v>
      </c>
      <c r="K163" s="3">
        <v>22662.25</v>
      </c>
      <c r="L163" s="3">
        <v>18274.63</v>
      </c>
      <c r="M163" s="3">
        <v>4387.62</v>
      </c>
      <c r="N163" t="s">
        <v>62</v>
      </c>
    </row>
    <row r="164" spans="1:14" x14ac:dyDescent="0.3">
      <c r="A164" t="s">
        <v>266</v>
      </c>
      <c r="B164" s="2">
        <v>45365</v>
      </c>
      <c r="C164" t="s">
        <v>56</v>
      </c>
      <c r="D164" t="s">
        <v>65</v>
      </c>
      <c r="E164" t="s">
        <v>131</v>
      </c>
      <c r="F164" t="s">
        <v>132</v>
      </c>
      <c r="G164" t="s">
        <v>27</v>
      </c>
      <c r="H164" t="s">
        <v>59</v>
      </c>
      <c r="I164">
        <v>2</v>
      </c>
      <c r="J164" s="3">
        <v>2535.33</v>
      </c>
      <c r="K164" s="3">
        <v>5070.66</v>
      </c>
      <c r="L164" s="3">
        <v>3638.01</v>
      </c>
      <c r="M164" s="3">
        <v>1432.65</v>
      </c>
      <c r="N164" t="s">
        <v>44</v>
      </c>
    </row>
    <row r="165" spans="1:14" x14ac:dyDescent="0.3">
      <c r="A165" t="s">
        <v>267</v>
      </c>
      <c r="B165" s="2">
        <v>45476</v>
      </c>
      <c r="C165" t="s">
        <v>76</v>
      </c>
      <c r="D165" t="s">
        <v>16</v>
      </c>
      <c r="E165" t="s">
        <v>17</v>
      </c>
      <c r="F165" t="s">
        <v>18</v>
      </c>
      <c r="G165" t="s">
        <v>34</v>
      </c>
      <c r="H165" t="s">
        <v>49</v>
      </c>
      <c r="I165">
        <v>1</v>
      </c>
      <c r="J165" s="3">
        <v>3286.83</v>
      </c>
      <c r="K165" s="3">
        <v>3286.83</v>
      </c>
      <c r="L165" s="3">
        <v>2879.95</v>
      </c>
      <c r="M165" s="3">
        <v>406.88</v>
      </c>
      <c r="N165" t="s">
        <v>29</v>
      </c>
    </row>
    <row r="166" spans="1:14" x14ac:dyDescent="0.3">
      <c r="A166" t="s">
        <v>268</v>
      </c>
      <c r="B166" s="2">
        <v>45300</v>
      </c>
      <c r="C166" t="s">
        <v>269</v>
      </c>
      <c r="D166" t="s">
        <v>65</v>
      </c>
      <c r="E166" t="s">
        <v>66</v>
      </c>
      <c r="F166" t="s">
        <v>67</v>
      </c>
      <c r="G166" t="s">
        <v>34</v>
      </c>
      <c r="H166" t="s">
        <v>87</v>
      </c>
      <c r="I166">
        <v>5</v>
      </c>
      <c r="J166" s="3">
        <v>732.93</v>
      </c>
      <c r="K166" s="3">
        <v>3664.65</v>
      </c>
      <c r="L166" s="3">
        <v>2735.67</v>
      </c>
      <c r="M166" s="3">
        <v>928.98</v>
      </c>
      <c r="N166" t="s">
        <v>36</v>
      </c>
    </row>
    <row r="167" spans="1:14" x14ac:dyDescent="0.3">
      <c r="A167" t="s">
        <v>270</v>
      </c>
      <c r="B167" s="2">
        <v>45571</v>
      </c>
      <c r="C167" t="s">
        <v>89</v>
      </c>
      <c r="D167" t="s">
        <v>65</v>
      </c>
      <c r="E167" t="s">
        <v>123</v>
      </c>
      <c r="F167" t="s">
        <v>124</v>
      </c>
      <c r="G167" t="s">
        <v>82</v>
      </c>
      <c r="H167" t="s">
        <v>135</v>
      </c>
      <c r="I167">
        <v>6</v>
      </c>
      <c r="J167" s="3">
        <v>547.64</v>
      </c>
      <c r="K167" s="3">
        <v>3285.84</v>
      </c>
      <c r="L167" s="3">
        <v>2354.16</v>
      </c>
      <c r="M167" s="3">
        <v>931.68</v>
      </c>
      <c r="N167" t="s">
        <v>21</v>
      </c>
    </row>
    <row r="168" spans="1:14" x14ac:dyDescent="0.3">
      <c r="A168" t="s">
        <v>271</v>
      </c>
      <c r="B168" s="2">
        <v>45526</v>
      </c>
      <c r="C168" t="s">
        <v>105</v>
      </c>
      <c r="D168" t="s">
        <v>16</v>
      </c>
      <c r="E168" t="s">
        <v>80</v>
      </c>
      <c r="F168" t="s">
        <v>81</v>
      </c>
      <c r="G168" t="s">
        <v>27</v>
      </c>
      <c r="H168" t="s">
        <v>28</v>
      </c>
      <c r="I168">
        <v>1</v>
      </c>
      <c r="J168" s="3">
        <v>52971.55</v>
      </c>
      <c r="K168" s="3">
        <v>52971.55</v>
      </c>
      <c r="L168" s="3">
        <v>39305.69</v>
      </c>
      <c r="M168" s="3">
        <v>13665.86</v>
      </c>
      <c r="N168" t="s">
        <v>44</v>
      </c>
    </row>
    <row r="169" spans="1:14" x14ac:dyDescent="0.3">
      <c r="A169" t="s">
        <v>272</v>
      </c>
      <c r="B169" s="2">
        <v>45534</v>
      </c>
      <c r="C169" t="s">
        <v>93</v>
      </c>
      <c r="D169" t="s">
        <v>65</v>
      </c>
      <c r="E169" t="s">
        <v>66</v>
      </c>
      <c r="F169" t="s">
        <v>67</v>
      </c>
      <c r="G169" t="s">
        <v>82</v>
      </c>
      <c r="H169" t="s">
        <v>100</v>
      </c>
      <c r="I169">
        <v>3</v>
      </c>
      <c r="J169" s="3">
        <v>874.26</v>
      </c>
      <c r="K169" s="3">
        <v>2622.78</v>
      </c>
      <c r="L169" s="3">
        <v>2193.09</v>
      </c>
      <c r="M169" s="3">
        <v>429.69</v>
      </c>
      <c r="N169" t="s">
        <v>36</v>
      </c>
    </row>
    <row r="170" spans="1:14" x14ac:dyDescent="0.3">
      <c r="A170" t="s">
        <v>273</v>
      </c>
      <c r="B170" s="2">
        <v>45355</v>
      </c>
      <c r="C170" t="s">
        <v>122</v>
      </c>
      <c r="D170" t="s">
        <v>65</v>
      </c>
      <c r="E170" t="s">
        <v>131</v>
      </c>
      <c r="F170" t="s">
        <v>132</v>
      </c>
      <c r="G170" t="s">
        <v>82</v>
      </c>
      <c r="H170" t="s">
        <v>135</v>
      </c>
      <c r="I170">
        <v>4</v>
      </c>
      <c r="J170" s="3">
        <v>532.29</v>
      </c>
      <c r="K170" s="3">
        <v>2129.16</v>
      </c>
      <c r="L170" s="3">
        <v>1527.38</v>
      </c>
      <c r="M170" s="3">
        <v>601.78</v>
      </c>
      <c r="N170" t="s">
        <v>36</v>
      </c>
    </row>
    <row r="171" spans="1:14" x14ac:dyDescent="0.3">
      <c r="A171" t="s">
        <v>274</v>
      </c>
      <c r="B171" s="2">
        <v>45557</v>
      </c>
      <c r="C171" t="s">
        <v>15</v>
      </c>
      <c r="D171" t="s">
        <v>65</v>
      </c>
      <c r="E171" t="s">
        <v>66</v>
      </c>
      <c r="F171" t="s">
        <v>67</v>
      </c>
      <c r="G171" t="s">
        <v>19</v>
      </c>
      <c r="H171" t="s">
        <v>147</v>
      </c>
      <c r="I171">
        <v>4</v>
      </c>
      <c r="J171" s="3">
        <v>2857.37</v>
      </c>
      <c r="K171" s="3">
        <v>11429.48</v>
      </c>
      <c r="L171" s="3">
        <v>9651.83</v>
      </c>
      <c r="M171" s="3">
        <v>1777.65</v>
      </c>
      <c r="N171" t="s">
        <v>36</v>
      </c>
    </row>
    <row r="172" spans="1:14" x14ac:dyDescent="0.3">
      <c r="A172" t="s">
        <v>275</v>
      </c>
      <c r="B172" s="2">
        <v>45456</v>
      </c>
      <c r="C172" t="s">
        <v>144</v>
      </c>
      <c r="D172" t="s">
        <v>16</v>
      </c>
      <c r="E172" t="s">
        <v>17</v>
      </c>
      <c r="F172" t="s">
        <v>18</v>
      </c>
      <c r="G172" t="s">
        <v>34</v>
      </c>
      <c r="H172" t="s">
        <v>35</v>
      </c>
      <c r="I172">
        <v>3</v>
      </c>
      <c r="J172" s="3">
        <v>2472.96</v>
      </c>
      <c r="K172" s="3">
        <v>7418.88</v>
      </c>
      <c r="L172" s="3">
        <v>6109.69</v>
      </c>
      <c r="M172" s="3">
        <v>1309.19</v>
      </c>
      <c r="N172" t="s">
        <v>29</v>
      </c>
    </row>
    <row r="173" spans="1:14" x14ac:dyDescent="0.3">
      <c r="A173" t="s">
        <v>276</v>
      </c>
      <c r="B173" s="2">
        <v>45519</v>
      </c>
      <c r="C173" t="s">
        <v>269</v>
      </c>
      <c r="D173" t="s">
        <v>65</v>
      </c>
      <c r="E173" t="s">
        <v>131</v>
      </c>
      <c r="F173" t="s">
        <v>132</v>
      </c>
      <c r="G173" t="s">
        <v>27</v>
      </c>
      <c r="H173" t="s">
        <v>59</v>
      </c>
      <c r="I173">
        <v>5</v>
      </c>
      <c r="J173" s="3">
        <v>2749.08</v>
      </c>
      <c r="K173" s="3">
        <v>13745.4</v>
      </c>
      <c r="L173" s="3">
        <v>10101.65</v>
      </c>
      <c r="M173" s="3">
        <v>3643.75</v>
      </c>
      <c r="N173" t="s">
        <v>21</v>
      </c>
    </row>
    <row r="174" spans="1:14" x14ac:dyDescent="0.3">
      <c r="A174" t="s">
        <v>277</v>
      </c>
      <c r="B174" s="2">
        <v>45635</v>
      </c>
      <c r="C174" t="s">
        <v>102</v>
      </c>
      <c r="D174" t="s">
        <v>24</v>
      </c>
      <c r="E174" t="s">
        <v>57</v>
      </c>
      <c r="F174" t="s">
        <v>58</v>
      </c>
      <c r="G174" t="s">
        <v>34</v>
      </c>
      <c r="H174" t="s">
        <v>74</v>
      </c>
      <c r="I174">
        <v>1</v>
      </c>
      <c r="J174" s="3">
        <v>1485.69</v>
      </c>
      <c r="K174" s="3">
        <v>1485.69</v>
      </c>
      <c r="L174" s="3">
        <v>1190.8</v>
      </c>
      <c r="M174" s="3">
        <v>294.89</v>
      </c>
      <c r="N174" t="s">
        <v>21</v>
      </c>
    </row>
    <row r="175" spans="1:14" x14ac:dyDescent="0.3">
      <c r="A175" t="s">
        <v>278</v>
      </c>
      <c r="B175" s="2">
        <v>45356</v>
      </c>
      <c r="C175" t="s">
        <v>46</v>
      </c>
      <c r="D175" t="s">
        <v>16</v>
      </c>
      <c r="E175" t="s">
        <v>117</v>
      </c>
      <c r="F175" t="s">
        <v>118</v>
      </c>
      <c r="G175" t="s">
        <v>82</v>
      </c>
      <c r="H175" t="s">
        <v>83</v>
      </c>
      <c r="I175">
        <v>3</v>
      </c>
      <c r="J175" s="3">
        <v>634.77</v>
      </c>
      <c r="K175" s="3">
        <v>1904.31</v>
      </c>
      <c r="L175" s="3">
        <v>1510.97</v>
      </c>
      <c r="M175" s="3">
        <v>393.34</v>
      </c>
      <c r="N175" t="s">
        <v>62</v>
      </c>
    </row>
    <row r="176" spans="1:14" x14ac:dyDescent="0.3">
      <c r="A176" t="s">
        <v>279</v>
      </c>
      <c r="B176" s="2">
        <v>45639</v>
      </c>
      <c r="C176" t="s">
        <v>93</v>
      </c>
      <c r="D176" t="s">
        <v>24</v>
      </c>
      <c r="E176" t="s">
        <v>57</v>
      </c>
      <c r="F176" t="s">
        <v>58</v>
      </c>
      <c r="G176" t="s">
        <v>34</v>
      </c>
      <c r="H176" t="s">
        <v>87</v>
      </c>
      <c r="I176">
        <v>5</v>
      </c>
      <c r="J176" s="3">
        <v>649.28</v>
      </c>
      <c r="K176" s="3">
        <v>3246.4</v>
      </c>
      <c r="L176" s="3">
        <v>2445.81</v>
      </c>
      <c r="M176" s="3">
        <v>800.59</v>
      </c>
      <c r="N176" t="s">
        <v>29</v>
      </c>
    </row>
    <row r="177" spans="1:14" x14ac:dyDescent="0.3">
      <c r="A177" t="s">
        <v>280</v>
      </c>
      <c r="B177" s="2">
        <v>45434</v>
      </c>
      <c r="C177" t="s">
        <v>51</v>
      </c>
      <c r="D177" t="s">
        <v>39</v>
      </c>
      <c r="E177" t="s">
        <v>52</v>
      </c>
      <c r="F177" t="s">
        <v>53</v>
      </c>
      <c r="G177" t="s">
        <v>27</v>
      </c>
      <c r="H177" t="s">
        <v>28</v>
      </c>
      <c r="I177">
        <v>4</v>
      </c>
      <c r="J177" s="3">
        <v>55195.199999999997</v>
      </c>
      <c r="K177" s="3">
        <v>220780.79999999999</v>
      </c>
      <c r="L177" s="3">
        <v>190469.47</v>
      </c>
      <c r="M177" s="3">
        <v>30311.33</v>
      </c>
      <c r="N177" t="s">
        <v>36</v>
      </c>
    </row>
    <row r="178" spans="1:14" x14ac:dyDescent="0.3">
      <c r="A178" t="s">
        <v>281</v>
      </c>
      <c r="B178" s="2">
        <v>45425</v>
      </c>
      <c r="C178" t="s">
        <v>51</v>
      </c>
      <c r="D178" t="s">
        <v>24</v>
      </c>
      <c r="E178" t="s">
        <v>32</v>
      </c>
      <c r="F178" t="s">
        <v>33</v>
      </c>
      <c r="G178" t="s">
        <v>42</v>
      </c>
      <c r="H178" t="s">
        <v>43</v>
      </c>
      <c r="I178">
        <v>6</v>
      </c>
      <c r="J178" s="3">
        <v>3033.23</v>
      </c>
      <c r="K178" s="3">
        <v>18199.38</v>
      </c>
      <c r="L178" s="3">
        <v>14163.49</v>
      </c>
      <c r="M178" s="3">
        <v>4035.89</v>
      </c>
      <c r="N178" t="s">
        <v>62</v>
      </c>
    </row>
    <row r="179" spans="1:14" x14ac:dyDescent="0.3">
      <c r="A179" t="s">
        <v>282</v>
      </c>
      <c r="B179" s="2">
        <v>45329</v>
      </c>
      <c r="C179" t="s">
        <v>93</v>
      </c>
      <c r="D179" t="s">
        <v>24</v>
      </c>
      <c r="E179" t="s">
        <v>32</v>
      </c>
      <c r="F179" t="s">
        <v>33</v>
      </c>
      <c r="G179" t="s">
        <v>82</v>
      </c>
      <c r="H179" t="s">
        <v>135</v>
      </c>
      <c r="I179">
        <v>1</v>
      </c>
      <c r="J179" s="3">
        <v>584.16</v>
      </c>
      <c r="K179" s="3">
        <v>584.16</v>
      </c>
      <c r="L179" s="3">
        <v>510.27</v>
      </c>
      <c r="M179" s="3">
        <v>73.89</v>
      </c>
      <c r="N179" t="s">
        <v>29</v>
      </c>
    </row>
    <row r="180" spans="1:14" x14ac:dyDescent="0.3">
      <c r="A180" t="s">
        <v>283</v>
      </c>
      <c r="B180" s="2">
        <v>45469</v>
      </c>
      <c r="C180" t="s">
        <v>144</v>
      </c>
      <c r="D180" t="s">
        <v>16</v>
      </c>
      <c r="E180" t="s">
        <v>80</v>
      </c>
      <c r="F180" t="s">
        <v>81</v>
      </c>
      <c r="G180" t="s">
        <v>82</v>
      </c>
      <c r="H180" t="s">
        <v>100</v>
      </c>
      <c r="I180">
        <v>6</v>
      </c>
      <c r="J180" s="3">
        <v>937.72</v>
      </c>
      <c r="K180" s="3">
        <v>5626.32</v>
      </c>
      <c r="L180" s="3">
        <v>4613.83</v>
      </c>
      <c r="M180" s="3">
        <v>1012.49</v>
      </c>
      <c r="N180" t="s">
        <v>36</v>
      </c>
    </row>
    <row r="181" spans="1:14" x14ac:dyDescent="0.3">
      <c r="A181" t="s">
        <v>284</v>
      </c>
      <c r="B181" s="2">
        <v>45552</v>
      </c>
      <c r="C181" t="s">
        <v>15</v>
      </c>
      <c r="D181" t="s">
        <v>39</v>
      </c>
      <c r="E181" t="s">
        <v>52</v>
      </c>
      <c r="F181" t="s">
        <v>53</v>
      </c>
      <c r="G181" t="s">
        <v>42</v>
      </c>
      <c r="H181" t="s">
        <v>106</v>
      </c>
      <c r="I181">
        <v>2</v>
      </c>
      <c r="J181" s="3">
        <v>952.27</v>
      </c>
      <c r="K181" s="3">
        <v>1904.54</v>
      </c>
      <c r="L181" s="3">
        <v>1305.0999999999999</v>
      </c>
      <c r="M181" s="3">
        <v>599.44000000000005</v>
      </c>
      <c r="N181" t="s">
        <v>44</v>
      </c>
    </row>
    <row r="182" spans="1:14" x14ac:dyDescent="0.3">
      <c r="A182" t="s">
        <v>285</v>
      </c>
      <c r="B182" s="2">
        <v>45480</v>
      </c>
      <c r="C182" t="s">
        <v>122</v>
      </c>
      <c r="D182" t="s">
        <v>24</v>
      </c>
      <c r="E182" t="s">
        <v>32</v>
      </c>
      <c r="F182" t="s">
        <v>33</v>
      </c>
      <c r="G182" t="s">
        <v>19</v>
      </c>
      <c r="H182" t="s">
        <v>147</v>
      </c>
      <c r="I182">
        <v>1</v>
      </c>
      <c r="J182" s="3">
        <v>2693.2</v>
      </c>
      <c r="K182" s="3">
        <v>2693.2</v>
      </c>
      <c r="L182" s="3">
        <v>2369.8000000000002</v>
      </c>
      <c r="M182" s="3">
        <v>323.39999999999998</v>
      </c>
      <c r="N182" t="s">
        <v>44</v>
      </c>
    </row>
    <row r="183" spans="1:14" x14ac:dyDescent="0.3">
      <c r="A183" t="s">
        <v>286</v>
      </c>
      <c r="B183" s="2">
        <v>45502</v>
      </c>
      <c r="C183" t="s">
        <v>139</v>
      </c>
      <c r="D183" t="s">
        <v>24</v>
      </c>
      <c r="E183" t="s">
        <v>25</v>
      </c>
      <c r="F183" t="s">
        <v>26</v>
      </c>
      <c r="G183" t="s">
        <v>27</v>
      </c>
      <c r="H183" t="s">
        <v>59</v>
      </c>
      <c r="I183">
        <v>6</v>
      </c>
      <c r="J183" s="3">
        <v>2287.08</v>
      </c>
      <c r="K183" s="3">
        <v>13722.48</v>
      </c>
      <c r="L183" s="3">
        <v>10609.76</v>
      </c>
      <c r="M183" s="3">
        <v>3112.72</v>
      </c>
      <c r="N183" t="s">
        <v>36</v>
      </c>
    </row>
    <row r="184" spans="1:14" x14ac:dyDescent="0.3">
      <c r="A184" t="s">
        <v>287</v>
      </c>
      <c r="B184" s="2">
        <v>45357</v>
      </c>
      <c r="C184" t="s">
        <v>144</v>
      </c>
      <c r="D184" t="s">
        <v>39</v>
      </c>
      <c r="E184" t="s">
        <v>40</v>
      </c>
      <c r="F184" t="s">
        <v>41</v>
      </c>
      <c r="G184" t="s">
        <v>34</v>
      </c>
      <c r="H184" t="s">
        <v>87</v>
      </c>
      <c r="I184">
        <v>1</v>
      </c>
      <c r="J184" s="3">
        <v>702.53</v>
      </c>
      <c r="K184" s="3">
        <v>702.53</v>
      </c>
      <c r="L184" s="3">
        <v>520.45000000000005</v>
      </c>
      <c r="M184" s="3">
        <v>182.08</v>
      </c>
      <c r="N184" t="s">
        <v>36</v>
      </c>
    </row>
    <row r="185" spans="1:14" x14ac:dyDescent="0.3">
      <c r="A185" t="s">
        <v>288</v>
      </c>
      <c r="B185" s="2">
        <v>45655</v>
      </c>
      <c r="C185" t="s">
        <v>15</v>
      </c>
      <c r="D185" t="s">
        <v>39</v>
      </c>
      <c r="E185" t="s">
        <v>97</v>
      </c>
      <c r="F185" t="s">
        <v>98</v>
      </c>
      <c r="G185" t="s">
        <v>42</v>
      </c>
      <c r="H185" t="s">
        <v>111</v>
      </c>
      <c r="I185">
        <v>3</v>
      </c>
      <c r="J185" s="3">
        <v>1710.7</v>
      </c>
      <c r="K185" s="3">
        <v>5132.1000000000004</v>
      </c>
      <c r="L185" s="3">
        <v>3747.05</v>
      </c>
      <c r="M185" s="3">
        <v>1385.05</v>
      </c>
      <c r="N185" t="s">
        <v>36</v>
      </c>
    </row>
    <row r="186" spans="1:14" x14ac:dyDescent="0.3">
      <c r="A186" t="s">
        <v>289</v>
      </c>
      <c r="B186" s="2">
        <v>45356</v>
      </c>
      <c r="C186" t="s">
        <v>46</v>
      </c>
      <c r="D186" t="s">
        <v>65</v>
      </c>
      <c r="E186" t="s">
        <v>66</v>
      </c>
      <c r="F186" t="s">
        <v>67</v>
      </c>
      <c r="G186" t="s">
        <v>34</v>
      </c>
      <c r="H186" t="s">
        <v>74</v>
      </c>
      <c r="I186">
        <v>5</v>
      </c>
      <c r="J186" s="3">
        <v>1741.31</v>
      </c>
      <c r="K186" s="3">
        <v>8706.5499999999993</v>
      </c>
      <c r="L186" s="3">
        <v>6188.95</v>
      </c>
      <c r="M186" s="3">
        <v>2517.6</v>
      </c>
      <c r="N186" t="s">
        <v>29</v>
      </c>
    </row>
    <row r="187" spans="1:14" x14ac:dyDescent="0.3">
      <c r="A187" t="s">
        <v>290</v>
      </c>
      <c r="B187" s="2">
        <v>45601</v>
      </c>
      <c r="C187" t="s">
        <v>64</v>
      </c>
      <c r="D187" t="s">
        <v>65</v>
      </c>
      <c r="E187" t="s">
        <v>66</v>
      </c>
      <c r="F187" t="s">
        <v>67</v>
      </c>
      <c r="G187" t="s">
        <v>82</v>
      </c>
      <c r="H187" t="s">
        <v>126</v>
      </c>
      <c r="I187">
        <v>1</v>
      </c>
      <c r="J187" s="3">
        <v>409.09</v>
      </c>
      <c r="K187" s="3">
        <v>409.09</v>
      </c>
      <c r="L187" s="3">
        <v>330.66</v>
      </c>
      <c r="M187" s="3">
        <v>78.430000000000007</v>
      </c>
      <c r="N187" t="s">
        <v>36</v>
      </c>
    </row>
    <row r="188" spans="1:14" x14ac:dyDescent="0.3">
      <c r="A188" t="s">
        <v>291</v>
      </c>
      <c r="B188" s="2">
        <v>45625</v>
      </c>
      <c r="C188" t="s">
        <v>86</v>
      </c>
      <c r="D188" t="s">
        <v>39</v>
      </c>
      <c r="E188" t="s">
        <v>70</v>
      </c>
      <c r="F188" t="s">
        <v>71</v>
      </c>
      <c r="G188" t="s">
        <v>19</v>
      </c>
      <c r="H188" t="s">
        <v>147</v>
      </c>
      <c r="I188">
        <v>4</v>
      </c>
      <c r="J188" s="3">
        <v>3017.84</v>
      </c>
      <c r="K188" s="3">
        <v>12071.36</v>
      </c>
      <c r="L188" s="3">
        <v>9525.7000000000007</v>
      </c>
      <c r="M188" s="3">
        <v>2545.66</v>
      </c>
      <c r="N188" t="s">
        <v>54</v>
      </c>
    </row>
    <row r="189" spans="1:14" x14ac:dyDescent="0.3">
      <c r="A189" t="s">
        <v>292</v>
      </c>
      <c r="B189" s="2">
        <v>45417</v>
      </c>
      <c r="C189" t="s">
        <v>23</v>
      </c>
      <c r="D189" t="s">
        <v>24</v>
      </c>
      <c r="E189" t="s">
        <v>57</v>
      </c>
      <c r="F189" t="s">
        <v>58</v>
      </c>
      <c r="G189" t="s">
        <v>34</v>
      </c>
      <c r="H189" t="s">
        <v>87</v>
      </c>
      <c r="I189">
        <v>2</v>
      </c>
      <c r="J189" s="3">
        <v>691.54</v>
      </c>
      <c r="K189" s="3">
        <v>1383.08</v>
      </c>
      <c r="L189" s="3">
        <v>1074.45</v>
      </c>
      <c r="M189" s="3">
        <v>308.63</v>
      </c>
      <c r="N189" t="s">
        <v>36</v>
      </c>
    </row>
    <row r="190" spans="1:14" x14ac:dyDescent="0.3">
      <c r="A190" t="s">
        <v>293</v>
      </c>
      <c r="B190" s="2">
        <v>45602</v>
      </c>
      <c r="C190" t="s">
        <v>105</v>
      </c>
      <c r="D190" t="s">
        <v>39</v>
      </c>
      <c r="E190" t="s">
        <v>97</v>
      </c>
      <c r="F190" t="s">
        <v>98</v>
      </c>
      <c r="G190" t="s">
        <v>82</v>
      </c>
      <c r="H190" t="s">
        <v>83</v>
      </c>
      <c r="I190">
        <v>6</v>
      </c>
      <c r="J190" s="3">
        <v>713.44</v>
      </c>
      <c r="K190" s="3">
        <v>4280.6400000000003</v>
      </c>
      <c r="L190" s="3">
        <v>3206.52</v>
      </c>
      <c r="M190" s="3">
        <v>1074.1199999999999</v>
      </c>
      <c r="N190" t="s">
        <v>62</v>
      </c>
    </row>
    <row r="191" spans="1:14" x14ac:dyDescent="0.3">
      <c r="A191" t="s">
        <v>294</v>
      </c>
      <c r="B191" s="2">
        <v>45481</v>
      </c>
      <c r="C191" t="s">
        <v>269</v>
      </c>
      <c r="D191" t="s">
        <v>16</v>
      </c>
      <c r="E191" t="s">
        <v>80</v>
      </c>
      <c r="F191" t="s">
        <v>81</v>
      </c>
      <c r="G191" t="s">
        <v>27</v>
      </c>
      <c r="H191" t="s">
        <v>68</v>
      </c>
      <c r="I191">
        <v>3</v>
      </c>
      <c r="J191" s="3">
        <v>17818.55</v>
      </c>
      <c r="K191" s="3">
        <v>53455.65</v>
      </c>
      <c r="L191" s="3">
        <v>37855.980000000003</v>
      </c>
      <c r="M191" s="3">
        <v>15599.67</v>
      </c>
      <c r="N191" t="s">
        <v>36</v>
      </c>
    </row>
    <row r="192" spans="1:14" x14ac:dyDescent="0.3">
      <c r="A192" t="s">
        <v>295</v>
      </c>
      <c r="B192" s="2">
        <v>45488</v>
      </c>
      <c r="C192" t="s">
        <v>23</v>
      </c>
      <c r="D192" t="s">
        <v>24</v>
      </c>
      <c r="E192" t="s">
        <v>32</v>
      </c>
      <c r="F192" t="s">
        <v>33</v>
      </c>
      <c r="G192" t="s">
        <v>42</v>
      </c>
      <c r="H192" t="s">
        <v>106</v>
      </c>
      <c r="I192">
        <v>3</v>
      </c>
      <c r="J192" s="3">
        <v>978.08</v>
      </c>
      <c r="K192" s="3">
        <v>2934.24</v>
      </c>
      <c r="L192" s="3">
        <v>2418.48</v>
      </c>
      <c r="M192" s="3">
        <v>515.76</v>
      </c>
      <c r="N192" t="s">
        <v>62</v>
      </c>
    </row>
    <row r="193" spans="1:14" x14ac:dyDescent="0.3">
      <c r="A193" t="s">
        <v>296</v>
      </c>
      <c r="B193" s="2">
        <v>45547</v>
      </c>
      <c r="C193" t="s">
        <v>102</v>
      </c>
      <c r="D193" t="s">
        <v>24</v>
      </c>
      <c r="E193" t="s">
        <v>47</v>
      </c>
      <c r="F193" t="s">
        <v>73</v>
      </c>
      <c r="G193" t="s">
        <v>82</v>
      </c>
      <c r="H193" t="s">
        <v>135</v>
      </c>
      <c r="I193">
        <v>1</v>
      </c>
      <c r="J193" s="3">
        <v>504.91</v>
      </c>
      <c r="K193" s="3">
        <v>504.91</v>
      </c>
      <c r="L193" s="3">
        <v>383.05</v>
      </c>
      <c r="M193" s="3">
        <v>121.86</v>
      </c>
      <c r="N193" t="s">
        <v>62</v>
      </c>
    </row>
    <row r="194" spans="1:14" x14ac:dyDescent="0.3">
      <c r="A194" t="s">
        <v>297</v>
      </c>
      <c r="B194" s="2">
        <v>45402</v>
      </c>
      <c r="C194" t="s">
        <v>122</v>
      </c>
      <c r="D194" t="s">
        <v>65</v>
      </c>
      <c r="E194" t="s">
        <v>66</v>
      </c>
      <c r="F194" t="s">
        <v>67</v>
      </c>
      <c r="G194" t="s">
        <v>27</v>
      </c>
      <c r="H194" t="s">
        <v>61</v>
      </c>
      <c r="I194">
        <v>5</v>
      </c>
      <c r="J194" s="3">
        <v>4844.1099999999997</v>
      </c>
      <c r="K194" s="3">
        <v>24220.55</v>
      </c>
      <c r="L194" s="3">
        <v>19639.28</v>
      </c>
      <c r="M194" s="3">
        <v>4581.2700000000004</v>
      </c>
      <c r="N194" t="s">
        <v>36</v>
      </c>
    </row>
    <row r="195" spans="1:14" x14ac:dyDescent="0.3">
      <c r="A195" t="s">
        <v>298</v>
      </c>
      <c r="B195" s="2">
        <v>45566</v>
      </c>
      <c r="C195" t="s">
        <v>269</v>
      </c>
      <c r="D195" t="s">
        <v>16</v>
      </c>
      <c r="E195" t="s">
        <v>17</v>
      </c>
      <c r="F195" t="s">
        <v>18</v>
      </c>
      <c r="G195" t="s">
        <v>34</v>
      </c>
      <c r="H195" t="s">
        <v>35</v>
      </c>
      <c r="I195">
        <v>6</v>
      </c>
      <c r="J195" s="3">
        <v>2432.89</v>
      </c>
      <c r="K195" s="3">
        <v>14597.34</v>
      </c>
      <c r="L195" s="3">
        <v>11103.48</v>
      </c>
      <c r="M195" s="3">
        <v>3493.86</v>
      </c>
      <c r="N195" t="s">
        <v>54</v>
      </c>
    </row>
    <row r="196" spans="1:14" x14ac:dyDescent="0.3">
      <c r="A196" t="s">
        <v>299</v>
      </c>
      <c r="B196" s="2">
        <v>45318</v>
      </c>
      <c r="C196" t="s">
        <v>76</v>
      </c>
      <c r="D196" t="s">
        <v>39</v>
      </c>
      <c r="E196" t="s">
        <v>97</v>
      </c>
      <c r="F196" t="s">
        <v>98</v>
      </c>
      <c r="G196" t="s">
        <v>19</v>
      </c>
      <c r="H196" t="s">
        <v>147</v>
      </c>
      <c r="I196">
        <v>4</v>
      </c>
      <c r="J196" s="3">
        <v>2802.38</v>
      </c>
      <c r="K196" s="3">
        <v>11209.52</v>
      </c>
      <c r="L196" s="3">
        <v>9336.19</v>
      </c>
      <c r="M196" s="3">
        <v>1873.33</v>
      </c>
      <c r="N196" t="s">
        <v>44</v>
      </c>
    </row>
    <row r="197" spans="1:14" x14ac:dyDescent="0.3">
      <c r="A197" t="s">
        <v>300</v>
      </c>
      <c r="B197" s="2">
        <v>45640</v>
      </c>
      <c r="C197" t="s">
        <v>38</v>
      </c>
      <c r="D197" t="s">
        <v>16</v>
      </c>
      <c r="E197" t="s">
        <v>117</v>
      </c>
      <c r="F197" t="s">
        <v>118</v>
      </c>
      <c r="G197" t="s">
        <v>42</v>
      </c>
      <c r="H197" t="s">
        <v>187</v>
      </c>
      <c r="I197">
        <v>3</v>
      </c>
      <c r="J197" s="3">
        <v>900.13</v>
      </c>
      <c r="K197" s="3">
        <v>2700.39</v>
      </c>
      <c r="L197" s="3">
        <v>2019.4</v>
      </c>
      <c r="M197" s="3">
        <v>680.99</v>
      </c>
      <c r="N197" t="s">
        <v>62</v>
      </c>
    </row>
    <row r="198" spans="1:14" x14ac:dyDescent="0.3">
      <c r="A198" t="s">
        <v>301</v>
      </c>
      <c r="B198" s="2">
        <v>45393</v>
      </c>
      <c r="C198" t="s">
        <v>102</v>
      </c>
      <c r="D198" t="s">
        <v>24</v>
      </c>
      <c r="E198" t="s">
        <v>25</v>
      </c>
      <c r="F198" t="s">
        <v>26</v>
      </c>
      <c r="G198" t="s">
        <v>27</v>
      </c>
      <c r="H198" t="s">
        <v>28</v>
      </c>
      <c r="I198">
        <v>6</v>
      </c>
      <c r="J198" s="3">
        <v>53163.45</v>
      </c>
      <c r="K198" s="3">
        <v>318980.7</v>
      </c>
      <c r="L198" s="3">
        <v>247129.92</v>
      </c>
      <c r="M198" s="3">
        <v>71850.78</v>
      </c>
      <c r="N198" t="s">
        <v>62</v>
      </c>
    </row>
    <row r="199" spans="1:14" x14ac:dyDescent="0.3">
      <c r="A199" t="s">
        <v>302</v>
      </c>
      <c r="B199" s="2">
        <v>45602</v>
      </c>
      <c r="C199" t="s">
        <v>86</v>
      </c>
      <c r="D199" t="s">
        <v>39</v>
      </c>
      <c r="E199" t="s">
        <v>97</v>
      </c>
      <c r="F199" t="s">
        <v>98</v>
      </c>
      <c r="G199" t="s">
        <v>42</v>
      </c>
      <c r="H199" t="s">
        <v>43</v>
      </c>
      <c r="I199">
        <v>2</v>
      </c>
      <c r="J199" s="3">
        <v>2740.05</v>
      </c>
      <c r="K199" s="3">
        <v>5480.1</v>
      </c>
      <c r="L199" s="3">
        <v>4402.16</v>
      </c>
      <c r="M199" s="3">
        <v>1077.94</v>
      </c>
      <c r="N199" t="s">
        <v>44</v>
      </c>
    </row>
    <row r="200" spans="1:14" x14ac:dyDescent="0.3">
      <c r="A200" t="s">
        <v>303</v>
      </c>
      <c r="B200" s="2">
        <v>45464</v>
      </c>
      <c r="C200" t="s">
        <v>31</v>
      </c>
      <c r="D200" t="s">
        <v>24</v>
      </c>
      <c r="E200" t="s">
        <v>57</v>
      </c>
      <c r="F200" t="s">
        <v>58</v>
      </c>
      <c r="G200" t="s">
        <v>34</v>
      </c>
      <c r="H200" t="s">
        <v>87</v>
      </c>
      <c r="I200">
        <v>3</v>
      </c>
      <c r="J200" s="3">
        <v>676.37</v>
      </c>
      <c r="K200" s="3">
        <v>2029.11</v>
      </c>
      <c r="L200" s="3">
        <v>1424.27</v>
      </c>
      <c r="M200" s="3">
        <v>604.84</v>
      </c>
      <c r="N200" t="s">
        <v>44</v>
      </c>
    </row>
    <row r="201" spans="1:14" x14ac:dyDescent="0.3">
      <c r="A201" t="s">
        <v>304</v>
      </c>
      <c r="B201" s="2">
        <v>45449</v>
      </c>
      <c r="C201" t="s">
        <v>122</v>
      </c>
      <c r="D201" t="s">
        <v>16</v>
      </c>
      <c r="E201" t="s">
        <v>47</v>
      </c>
      <c r="F201" t="s">
        <v>48</v>
      </c>
      <c r="G201" t="s">
        <v>27</v>
      </c>
      <c r="H201" t="s">
        <v>91</v>
      </c>
      <c r="I201">
        <v>5</v>
      </c>
      <c r="J201" s="3">
        <v>2836.53</v>
      </c>
      <c r="K201" s="3">
        <v>14182.65</v>
      </c>
      <c r="L201" s="3">
        <v>9789.8700000000008</v>
      </c>
      <c r="M201" s="3">
        <v>4392.78</v>
      </c>
      <c r="N201" t="s">
        <v>62</v>
      </c>
    </row>
    <row r="202" spans="1:14" x14ac:dyDescent="0.3">
      <c r="A202" t="s">
        <v>305</v>
      </c>
      <c r="B202" s="2">
        <v>45560</v>
      </c>
      <c r="C202" t="s">
        <v>23</v>
      </c>
      <c r="D202" t="s">
        <v>24</v>
      </c>
      <c r="E202" t="s">
        <v>32</v>
      </c>
      <c r="F202" t="s">
        <v>33</v>
      </c>
      <c r="G202" t="s">
        <v>82</v>
      </c>
      <c r="H202" t="s">
        <v>100</v>
      </c>
      <c r="I202">
        <v>1</v>
      </c>
      <c r="J202" s="3">
        <v>913.06</v>
      </c>
      <c r="K202" s="3">
        <v>913.06</v>
      </c>
      <c r="L202" s="3">
        <v>748.8</v>
      </c>
      <c r="M202" s="3">
        <v>164.26</v>
      </c>
      <c r="N202" t="s">
        <v>21</v>
      </c>
    </row>
    <row r="203" spans="1:14" x14ac:dyDescent="0.3">
      <c r="A203" t="s">
        <v>306</v>
      </c>
      <c r="B203" s="2">
        <v>45517</v>
      </c>
      <c r="C203" t="s">
        <v>122</v>
      </c>
      <c r="D203" t="s">
        <v>65</v>
      </c>
      <c r="E203" t="s">
        <v>131</v>
      </c>
      <c r="F203" t="s">
        <v>132</v>
      </c>
      <c r="G203" t="s">
        <v>27</v>
      </c>
      <c r="H203" t="s">
        <v>28</v>
      </c>
      <c r="I203">
        <v>4</v>
      </c>
      <c r="J203" s="3">
        <v>55020.01</v>
      </c>
      <c r="K203" s="3">
        <v>220080.04</v>
      </c>
      <c r="L203" s="3">
        <v>176569.25</v>
      </c>
      <c r="M203" s="3">
        <v>43510.79</v>
      </c>
      <c r="N203" t="s">
        <v>29</v>
      </c>
    </row>
    <row r="204" spans="1:14" x14ac:dyDescent="0.3">
      <c r="A204" t="s">
        <v>307</v>
      </c>
      <c r="B204" s="2">
        <v>45323</v>
      </c>
      <c r="C204" t="s">
        <v>102</v>
      </c>
      <c r="D204" t="s">
        <v>39</v>
      </c>
      <c r="E204" t="s">
        <v>40</v>
      </c>
      <c r="F204" t="s">
        <v>41</v>
      </c>
      <c r="G204" t="s">
        <v>19</v>
      </c>
      <c r="H204" t="s">
        <v>77</v>
      </c>
      <c r="I204">
        <v>5</v>
      </c>
      <c r="J204" s="3">
        <v>1170.44</v>
      </c>
      <c r="K204" s="3">
        <v>5852.2</v>
      </c>
      <c r="L204" s="3">
        <v>5099.24</v>
      </c>
      <c r="M204" s="3">
        <v>752.96</v>
      </c>
      <c r="N204" t="s">
        <v>44</v>
      </c>
    </row>
    <row r="205" spans="1:14" x14ac:dyDescent="0.3">
      <c r="A205" t="s">
        <v>308</v>
      </c>
      <c r="B205" s="2">
        <v>45467</v>
      </c>
      <c r="C205" t="s">
        <v>86</v>
      </c>
      <c r="D205" t="s">
        <v>65</v>
      </c>
      <c r="E205" t="s">
        <v>113</v>
      </c>
      <c r="F205" t="s">
        <v>114</v>
      </c>
      <c r="G205" t="s">
        <v>19</v>
      </c>
      <c r="H205" t="s">
        <v>20</v>
      </c>
      <c r="I205">
        <v>2</v>
      </c>
      <c r="J205" s="3">
        <v>6212.71</v>
      </c>
      <c r="K205" s="3">
        <v>12425.42</v>
      </c>
      <c r="L205" s="3">
        <v>9191.08</v>
      </c>
      <c r="M205" s="3">
        <v>3234.34</v>
      </c>
      <c r="N205" t="s">
        <v>36</v>
      </c>
    </row>
    <row r="206" spans="1:14" x14ac:dyDescent="0.3">
      <c r="A206" t="s">
        <v>309</v>
      </c>
      <c r="B206" s="2">
        <v>45652</v>
      </c>
      <c r="C206" t="s">
        <v>76</v>
      </c>
      <c r="D206" t="s">
        <v>39</v>
      </c>
      <c r="E206" t="s">
        <v>70</v>
      </c>
      <c r="F206" t="s">
        <v>71</v>
      </c>
      <c r="G206" t="s">
        <v>34</v>
      </c>
      <c r="H206" t="s">
        <v>35</v>
      </c>
      <c r="I206">
        <v>5</v>
      </c>
      <c r="J206" s="3">
        <v>2716.85</v>
      </c>
      <c r="K206" s="3">
        <v>13584.25</v>
      </c>
      <c r="L206" s="3">
        <v>11398.29</v>
      </c>
      <c r="M206" s="3">
        <v>2185.96</v>
      </c>
      <c r="N206" t="s">
        <v>36</v>
      </c>
    </row>
    <row r="207" spans="1:14" x14ac:dyDescent="0.3">
      <c r="A207" t="s">
        <v>310</v>
      </c>
      <c r="B207" s="2">
        <v>45354</v>
      </c>
      <c r="C207" t="s">
        <v>56</v>
      </c>
      <c r="D207" t="s">
        <v>24</v>
      </c>
      <c r="E207" t="s">
        <v>47</v>
      </c>
      <c r="F207" t="s">
        <v>73</v>
      </c>
      <c r="G207" t="s">
        <v>82</v>
      </c>
      <c r="H207" t="s">
        <v>100</v>
      </c>
      <c r="I207">
        <v>3</v>
      </c>
      <c r="J207" s="3">
        <v>817.57</v>
      </c>
      <c r="K207" s="3">
        <v>2452.71</v>
      </c>
      <c r="L207" s="3">
        <v>2136.46</v>
      </c>
      <c r="M207" s="3">
        <v>316.25</v>
      </c>
      <c r="N207" t="s">
        <v>36</v>
      </c>
    </row>
    <row r="208" spans="1:14" x14ac:dyDescent="0.3">
      <c r="A208" t="s">
        <v>311</v>
      </c>
      <c r="B208" s="2">
        <v>45518</v>
      </c>
      <c r="C208" t="s">
        <v>89</v>
      </c>
      <c r="D208" t="s">
        <v>65</v>
      </c>
      <c r="E208" t="s">
        <v>131</v>
      </c>
      <c r="F208" t="s">
        <v>132</v>
      </c>
      <c r="G208" t="s">
        <v>27</v>
      </c>
      <c r="H208" t="s">
        <v>91</v>
      </c>
      <c r="I208">
        <v>3</v>
      </c>
      <c r="J208" s="3">
        <v>3259.81</v>
      </c>
      <c r="K208" s="3">
        <v>9779.43</v>
      </c>
      <c r="L208" s="3">
        <v>8011.64</v>
      </c>
      <c r="M208" s="3">
        <v>1767.79</v>
      </c>
      <c r="N208" t="s">
        <v>21</v>
      </c>
    </row>
    <row r="209" spans="1:14" x14ac:dyDescent="0.3">
      <c r="A209" t="s">
        <v>312</v>
      </c>
      <c r="B209" s="2">
        <v>45607</v>
      </c>
      <c r="C209" t="s">
        <v>31</v>
      </c>
      <c r="D209" t="s">
        <v>39</v>
      </c>
      <c r="E209" t="s">
        <v>40</v>
      </c>
      <c r="F209" t="s">
        <v>41</v>
      </c>
      <c r="G209" t="s">
        <v>27</v>
      </c>
      <c r="H209" t="s">
        <v>91</v>
      </c>
      <c r="I209">
        <v>2</v>
      </c>
      <c r="J209" s="3">
        <v>3082.77</v>
      </c>
      <c r="K209" s="3">
        <v>6165.54</v>
      </c>
      <c r="L209" s="3">
        <v>4257.29</v>
      </c>
      <c r="M209" s="3">
        <v>1908.25</v>
      </c>
      <c r="N209" t="s">
        <v>36</v>
      </c>
    </row>
    <row r="210" spans="1:14" x14ac:dyDescent="0.3">
      <c r="A210" t="s">
        <v>313</v>
      </c>
      <c r="B210" s="2">
        <v>45533</v>
      </c>
      <c r="C210" t="s">
        <v>122</v>
      </c>
      <c r="D210" t="s">
        <v>16</v>
      </c>
      <c r="E210" t="s">
        <v>117</v>
      </c>
      <c r="F210" t="s">
        <v>118</v>
      </c>
      <c r="G210" t="s">
        <v>27</v>
      </c>
      <c r="H210" t="s">
        <v>91</v>
      </c>
      <c r="I210">
        <v>2</v>
      </c>
      <c r="J210" s="3">
        <v>2944.14</v>
      </c>
      <c r="K210" s="3">
        <v>5888.28</v>
      </c>
      <c r="L210" s="3">
        <v>5105.18</v>
      </c>
      <c r="M210" s="3">
        <v>783.1</v>
      </c>
      <c r="N210" t="s">
        <v>54</v>
      </c>
    </row>
    <row r="211" spans="1:14" x14ac:dyDescent="0.3">
      <c r="A211" t="s">
        <v>314</v>
      </c>
      <c r="B211" s="2">
        <v>45625</v>
      </c>
      <c r="C211" t="s">
        <v>269</v>
      </c>
      <c r="D211" t="s">
        <v>39</v>
      </c>
      <c r="E211" t="s">
        <v>97</v>
      </c>
      <c r="F211" t="s">
        <v>98</v>
      </c>
      <c r="G211" t="s">
        <v>34</v>
      </c>
      <c r="H211" t="s">
        <v>87</v>
      </c>
      <c r="I211">
        <v>1</v>
      </c>
      <c r="J211" s="3">
        <v>721.32</v>
      </c>
      <c r="K211" s="3">
        <v>721.32</v>
      </c>
      <c r="L211" s="3">
        <v>524</v>
      </c>
      <c r="M211" s="3">
        <v>197.32</v>
      </c>
      <c r="N211" t="s">
        <v>62</v>
      </c>
    </row>
    <row r="212" spans="1:14" x14ac:dyDescent="0.3">
      <c r="A212" t="s">
        <v>315</v>
      </c>
      <c r="B212" s="2">
        <v>45505</v>
      </c>
      <c r="C212" t="s">
        <v>86</v>
      </c>
      <c r="D212" t="s">
        <v>39</v>
      </c>
      <c r="E212" t="s">
        <v>52</v>
      </c>
      <c r="F212" t="s">
        <v>53</v>
      </c>
      <c r="G212" t="s">
        <v>42</v>
      </c>
      <c r="H212" t="s">
        <v>187</v>
      </c>
      <c r="I212">
        <v>4</v>
      </c>
      <c r="J212" s="3">
        <v>796.67</v>
      </c>
      <c r="K212" s="3">
        <v>3186.68</v>
      </c>
      <c r="L212" s="3">
        <v>2644.31</v>
      </c>
      <c r="M212" s="3">
        <v>542.37</v>
      </c>
      <c r="N212" t="s">
        <v>21</v>
      </c>
    </row>
    <row r="213" spans="1:14" x14ac:dyDescent="0.3">
      <c r="A213" t="s">
        <v>316</v>
      </c>
      <c r="B213" s="2">
        <v>45296</v>
      </c>
      <c r="C213" t="s">
        <v>139</v>
      </c>
      <c r="D213" t="s">
        <v>65</v>
      </c>
      <c r="E213" t="s">
        <v>66</v>
      </c>
      <c r="F213" t="s">
        <v>67</v>
      </c>
      <c r="G213" t="s">
        <v>42</v>
      </c>
      <c r="H213" t="s">
        <v>43</v>
      </c>
      <c r="I213">
        <v>3</v>
      </c>
      <c r="J213" s="3">
        <v>2774.44</v>
      </c>
      <c r="K213" s="3">
        <v>8323.32</v>
      </c>
      <c r="L213" s="3">
        <v>6727.43</v>
      </c>
      <c r="M213" s="3">
        <v>1595.89</v>
      </c>
      <c r="N213" t="s">
        <v>54</v>
      </c>
    </row>
    <row r="214" spans="1:14" x14ac:dyDescent="0.3">
      <c r="A214" t="s">
        <v>317</v>
      </c>
      <c r="B214" s="2">
        <v>45360</v>
      </c>
      <c r="C214" t="s">
        <v>76</v>
      </c>
      <c r="D214" t="s">
        <v>24</v>
      </c>
      <c r="E214" t="s">
        <v>57</v>
      </c>
      <c r="F214" t="s">
        <v>58</v>
      </c>
      <c r="G214" t="s">
        <v>27</v>
      </c>
      <c r="H214" t="s">
        <v>68</v>
      </c>
      <c r="I214">
        <v>3</v>
      </c>
      <c r="J214" s="3">
        <v>16784.98</v>
      </c>
      <c r="K214" s="3">
        <v>50354.94</v>
      </c>
      <c r="L214" s="3">
        <v>38863.08</v>
      </c>
      <c r="M214" s="3">
        <v>11491.86</v>
      </c>
      <c r="N214" t="s">
        <v>29</v>
      </c>
    </row>
    <row r="215" spans="1:14" x14ac:dyDescent="0.3">
      <c r="A215" t="s">
        <v>318</v>
      </c>
      <c r="B215" s="2">
        <v>45387</v>
      </c>
      <c r="C215" t="s">
        <v>105</v>
      </c>
      <c r="D215" t="s">
        <v>16</v>
      </c>
      <c r="E215" t="s">
        <v>80</v>
      </c>
      <c r="F215" t="s">
        <v>81</v>
      </c>
      <c r="G215" t="s">
        <v>82</v>
      </c>
      <c r="H215" t="s">
        <v>200</v>
      </c>
      <c r="I215">
        <v>6</v>
      </c>
      <c r="J215" s="3">
        <v>1892.62</v>
      </c>
      <c r="K215" s="3">
        <v>11355.72</v>
      </c>
      <c r="L215" s="3">
        <v>8120.46</v>
      </c>
      <c r="M215" s="3">
        <v>3235.26</v>
      </c>
      <c r="N215" t="s">
        <v>54</v>
      </c>
    </row>
    <row r="216" spans="1:14" x14ac:dyDescent="0.3">
      <c r="A216" t="s">
        <v>319</v>
      </c>
      <c r="B216" s="2">
        <v>45555</v>
      </c>
      <c r="C216" t="s">
        <v>134</v>
      </c>
      <c r="D216" t="s">
        <v>65</v>
      </c>
      <c r="E216" t="s">
        <v>66</v>
      </c>
      <c r="F216" t="s">
        <v>67</v>
      </c>
      <c r="G216" t="s">
        <v>34</v>
      </c>
      <c r="H216" t="s">
        <v>87</v>
      </c>
      <c r="I216">
        <v>2</v>
      </c>
      <c r="J216" s="3">
        <v>767.44</v>
      </c>
      <c r="K216" s="3">
        <v>1534.88</v>
      </c>
      <c r="L216" s="3">
        <v>1190.29</v>
      </c>
      <c r="M216" s="3">
        <v>344.59</v>
      </c>
      <c r="N216" t="s">
        <v>21</v>
      </c>
    </row>
    <row r="217" spans="1:14" x14ac:dyDescent="0.3">
      <c r="A217" t="s">
        <v>320</v>
      </c>
      <c r="B217" s="2">
        <v>45425</v>
      </c>
      <c r="C217" t="s">
        <v>79</v>
      </c>
      <c r="D217" t="s">
        <v>24</v>
      </c>
      <c r="E217" t="s">
        <v>32</v>
      </c>
      <c r="F217" t="s">
        <v>33</v>
      </c>
      <c r="G217" t="s">
        <v>34</v>
      </c>
      <c r="H217" t="s">
        <v>35</v>
      </c>
      <c r="I217">
        <v>3</v>
      </c>
      <c r="J217" s="3">
        <v>2400.9699999999998</v>
      </c>
      <c r="K217" s="3">
        <v>7202.91</v>
      </c>
      <c r="L217" s="3">
        <v>5939.35</v>
      </c>
      <c r="M217" s="3">
        <v>1263.56</v>
      </c>
      <c r="N217" t="s">
        <v>36</v>
      </c>
    </row>
    <row r="218" spans="1:14" x14ac:dyDescent="0.3">
      <c r="A218" t="s">
        <v>321</v>
      </c>
      <c r="B218" s="2">
        <v>45626</v>
      </c>
      <c r="C218" t="s">
        <v>139</v>
      </c>
      <c r="D218" t="s">
        <v>65</v>
      </c>
      <c r="E218" t="s">
        <v>123</v>
      </c>
      <c r="F218" t="s">
        <v>124</v>
      </c>
      <c r="G218" t="s">
        <v>27</v>
      </c>
      <c r="H218" t="s">
        <v>68</v>
      </c>
      <c r="I218">
        <v>4</v>
      </c>
      <c r="J218" s="3">
        <v>17304.5</v>
      </c>
      <c r="K218" s="3">
        <v>69218</v>
      </c>
      <c r="L218" s="3">
        <v>52680.67</v>
      </c>
      <c r="M218" s="3">
        <v>16537.330000000002</v>
      </c>
      <c r="N218" t="s">
        <v>29</v>
      </c>
    </row>
    <row r="219" spans="1:14" x14ac:dyDescent="0.3">
      <c r="A219" t="s">
        <v>322</v>
      </c>
      <c r="B219" s="2">
        <v>45451</v>
      </c>
      <c r="C219" t="s">
        <v>102</v>
      </c>
      <c r="D219" t="s">
        <v>16</v>
      </c>
      <c r="E219" t="s">
        <v>80</v>
      </c>
      <c r="F219" t="s">
        <v>81</v>
      </c>
      <c r="G219" t="s">
        <v>34</v>
      </c>
      <c r="H219" t="s">
        <v>74</v>
      </c>
      <c r="I219">
        <v>2</v>
      </c>
      <c r="J219" s="3">
        <v>1746.36</v>
      </c>
      <c r="K219" s="3">
        <v>3492.72</v>
      </c>
      <c r="L219" s="3">
        <v>2709.08</v>
      </c>
      <c r="M219" s="3">
        <v>783.64</v>
      </c>
      <c r="N219" t="s">
        <v>29</v>
      </c>
    </row>
    <row r="220" spans="1:14" x14ac:dyDescent="0.3">
      <c r="A220" t="s">
        <v>323</v>
      </c>
      <c r="B220" s="2">
        <v>45602</v>
      </c>
      <c r="C220" t="s">
        <v>134</v>
      </c>
      <c r="D220" t="s">
        <v>65</v>
      </c>
      <c r="E220" t="s">
        <v>131</v>
      </c>
      <c r="F220" t="s">
        <v>132</v>
      </c>
      <c r="G220" t="s">
        <v>19</v>
      </c>
      <c r="H220" t="s">
        <v>77</v>
      </c>
      <c r="I220">
        <v>5</v>
      </c>
      <c r="J220" s="3">
        <v>1272.48</v>
      </c>
      <c r="K220" s="3">
        <v>6362.4</v>
      </c>
      <c r="L220" s="3">
        <v>5377</v>
      </c>
      <c r="M220" s="3">
        <v>985.4</v>
      </c>
      <c r="N220" t="s">
        <v>29</v>
      </c>
    </row>
    <row r="221" spans="1:14" x14ac:dyDescent="0.3">
      <c r="A221" t="s">
        <v>324</v>
      </c>
      <c r="B221" s="2">
        <v>45597</v>
      </c>
      <c r="C221" t="s">
        <v>15</v>
      </c>
      <c r="D221" t="s">
        <v>16</v>
      </c>
      <c r="E221" t="s">
        <v>47</v>
      </c>
      <c r="F221" t="s">
        <v>48</v>
      </c>
      <c r="G221" t="s">
        <v>34</v>
      </c>
      <c r="H221" t="s">
        <v>35</v>
      </c>
      <c r="I221">
        <v>1</v>
      </c>
      <c r="J221" s="3">
        <v>2708.62</v>
      </c>
      <c r="K221" s="3">
        <v>2708.62</v>
      </c>
      <c r="L221" s="3">
        <v>1902.65</v>
      </c>
      <c r="M221" s="3">
        <v>805.97</v>
      </c>
      <c r="N221" t="s">
        <v>44</v>
      </c>
    </row>
    <row r="222" spans="1:14" x14ac:dyDescent="0.3">
      <c r="A222" t="s">
        <v>325</v>
      </c>
      <c r="B222" s="2">
        <v>45395</v>
      </c>
      <c r="C222" t="s">
        <v>64</v>
      </c>
      <c r="D222" t="s">
        <v>39</v>
      </c>
      <c r="E222" t="s">
        <v>40</v>
      </c>
      <c r="F222" t="s">
        <v>41</v>
      </c>
      <c r="G222" t="s">
        <v>34</v>
      </c>
      <c r="H222" t="s">
        <v>94</v>
      </c>
      <c r="I222">
        <v>4</v>
      </c>
      <c r="J222" s="3">
        <v>1292.55</v>
      </c>
      <c r="K222" s="3">
        <v>5170.2</v>
      </c>
      <c r="L222" s="3">
        <v>3728.13</v>
      </c>
      <c r="M222" s="3">
        <v>1442.07</v>
      </c>
      <c r="N222" t="s">
        <v>54</v>
      </c>
    </row>
    <row r="223" spans="1:14" x14ac:dyDescent="0.3">
      <c r="A223" t="s">
        <v>326</v>
      </c>
      <c r="B223" s="2">
        <v>45338</v>
      </c>
      <c r="C223" t="s">
        <v>102</v>
      </c>
      <c r="D223" t="s">
        <v>24</v>
      </c>
      <c r="E223" t="s">
        <v>25</v>
      </c>
      <c r="F223" t="s">
        <v>26</v>
      </c>
      <c r="G223" t="s">
        <v>34</v>
      </c>
      <c r="H223" t="s">
        <v>94</v>
      </c>
      <c r="I223">
        <v>4</v>
      </c>
      <c r="J223" s="3">
        <v>1387.9</v>
      </c>
      <c r="K223" s="3">
        <v>5551.6</v>
      </c>
      <c r="L223" s="3">
        <v>3839.19</v>
      </c>
      <c r="M223" s="3">
        <v>1712.41</v>
      </c>
      <c r="N223" t="s">
        <v>29</v>
      </c>
    </row>
    <row r="224" spans="1:14" x14ac:dyDescent="0.3">
      <c r="A224" t="s">
        <v>327</v>
      </c>
      <c r="B224" s="2">
        <v>45449</v>
      </c>
      <c r="C224" t="s">
        <v>31</v>
      </c>
      <c r="D224" t="s">
        <v>16</v>
      </c>
      <c r="E224" t="s">
        <v>47</v>
      </c>
      <c r="F224" t="s">
        <v>48</v>
      </c>
      <c r="G224" t="s">
        <v>27</v>
      </c>
      <c r="H224" t="s">
        <v>68</v>
      </c>
      <c r="I224">
        <v>6</v>
      </c>
      <c r="J224" s="3">
        <v>16984.439999999999</v>
      </c>
      <c r="K224" s="3">
        <v>101906.64</v>
      </c>
      <c r="L224" s="3">
        <v>70784.95</v>
      </c>
      <c r="M224" s="3">
        <v>31121.69</v>
      </c>
      <c r="N224" t="s">
        <v>36</v>
      </c>
    </row>
    <row r="225" spans="1:14" x14ac:dyDescent="0.3">
      <c r="A225" t="s">
        <v>328</v>
      </c>
      <c r="B225" s="2">
        <v>45650</v>
      </c>
      <c r="C225" t="s">
        <v>89</v>
      </c>
      <c r="D225" t="s">
        <v>16</v>
      </c>
      <c r="E225" t="s">
        <v>17</v>
      </c>
      <c r="F225" t="s">
        <v>18</v>
      </c>
      <c r="G225" t="s">
        <v>42</v>
      </c>
      <c r="H225" t="s">
        <v>120</v>
      </c>
      <c r="I225">
        <v>4</v>
      </c>
      <c r="J225" s="3">
        <v>1993.96</v>
      </c>
      <c r="K225" s="3">
        <v>7975.84</v>
      </c>
      <c r="L225" s="3">
        <v>6075.78</v>
      </c>
      <c r="M225" s="3">
        <v>1900.06</v>
      </c>
      <c r="N225" t="s">
        <v>29</v>
      </c>
    </row>
    <row r="226" spans="1:14" x14ac:dyDescent="0.3">
      <c r="A226" t="s">
        <v>329</v>
      </c>
      <c r="B226" s="2">
        <v>45622</v>
      </c>
      <c r="C226" t="s">
        <v>105</v>
      </c>
      <c r="D226" t="s">
        <v>24</v>
      </c>
      <c r="E226" t="s">
        <v>57</v>
      </c>
      <c r="F226" t="s">
        <v>58</v>
      </c>
      <c r="G226" t="s">
        <v>42</v>
      </c>
      <c r="H226" t="s">
        <v>187</v>
      </c>
      <c r="I226">
        <v>4</v>
      </c>
      <c r="J226" s="3">
        <v>912.84</v>
      </c>
      <c r="K226" s="3">
        <v>3651.36</v>
      </c>
      <c r="L226" s="3">
        <v>3145.11</v>
      </c>
      <c r="M226" s="3">
        <v>506.25</v>
      </c>
      <c r="N226" t="s">
        <v>21</v>
      </c>
    </row>
    <row r="227" spans="1:14" x14ac:dyDescent="0.3">
      <c r="A227" t="s">
        <v>330</v>
      </c>
      <c r="B227" s="2">
        <v>45641</v>
      </c>
      <c r="C227" t="s">
        <v>134</v>
      </c>
      <c r="D227" t="s">
        <v>39</v>
      </c>
      <c r="E227" t="s">
        <v>97</v>
      </c>
      <c r="F227" t="s">
        <v>98</v>
      </c>
      <c r="G227" t="s">
        <v>27</v>
      </c>
      <c r="H227" t="s">
        <v>91</v>
      </c>
      <c r="I227">
        <v>4</v>
      </c>
      <c r="J227" s="3">
        <v>3017.31</v>
      </c>
      <c r="K227" s="3">
        <v>12069.24</v>
      </c>
      <c r="L227" s="3">
        <v>9964.02</v>
      </c>
      <c r="M227" s="3">
        <v>2105.2199999999998</v>
      </c>
      <c r="N227" t="s">
        <v>21</v>
      </c>
    </row>
    <row r="228" spans="1:14" x14ac:dyDescent="0.3">
      <c r="A228" t="s">
        <v>331</v>
      </c>
      <c r="B228" s="2">
        <v>45303</v>
      </c>
      <c r="C228" t="s">
        <v>134</v>
      </c>
      <c r="D228" t="s">
        <v>65</v>
      </c>
      <c r="E228" t="s">
        <v>131</v>
      </c>
      <c r="F228" t="s">
        <v>132</v>
      </c>
      <c r="G228" t="s">
        <v>19</v>
      </c>
      <c r="H228" t="s">
        <v>151</v>
      </c>
      <c r="I228">
        <v>4</v>
      </c>
      <c r="J228" s="3">
        <v>603.83000000000004</v>
      </c>
      <c r="K228" s="3">
        <v>2415.3200000000002</v>
      </c>
      <c r="L228" s="3">
        <v>2040.15</v>
      </c>
      <c r="M228" s="3">
        <v>375.17</v>
      </c>
      <c r="N228" t="s">
        <v>54</v>
      </c>
    </row>
    <row r="229" spans="1:14" x14ac:dyDescent="0.3">
      <c r="A229" t="s">
        <v>332</v>
      </c>
      <c r="B229" s="2">
        <v>45469</v>
      </c>
      <c r="C229" t="s">
        <v>79</v>
      </c>
      <c r="D229" t="s">
        <v>39</v>
      </c>
      <c r="E229" t="s">
        <v>97</v>
      </c>
      <c r="F229" t="s">
        <v>98</v>
      </c>
      <c r="G229" t="s">
        <v>27</v>
      </c>
      <c r="H229" t="s">
        <v>68</v>
      </c>
      <c r="I229">
        <v>1</v>
      </c>
      <c r="J229" s="3">
        <v>19114.12</v>
      </c>
      <c r="K229" s="3">
        <v>19114.12</v>
      </c>
      <c r="L229" s="3">
        <v>14600.28</v>
      </c>
      <c r="M229" s="3">
        <v>4513.84</v>
      </c>
      <c r="N229" t="s">
        <v>62</v>
      </c>
    </row>
    <row r="230" spans="1:14" x14ac:dyDescent="0.3">
      <c r="A230" t="s">
        <v>333</v>
      </c>
      <c r="B230" s="2">
        <v>45397</v>
      </c>
      <c r="C230" t="s">
        <v>134</v>
      </c>
      <c r="D230" t="s">
        <v>16</v>
      </c>
      <c r="E230" t="s">
        <v>17</v>
      </c>
      <c r="F230" t="s">
        <v>18</v>
      </c>
      <c r="G230" t="s">
        <v>19</v>
      </c>
      <c r="H230" t="s">
        <v>77</v>
      </c>
      <c r="I230">
        <v>5</v>
      </c>
      <c r="J230" s="3">
        <v>1241.29</v>
      </c>
      <c r="K230" s="3">
        <v>6206.45</v>
      </c>
      <c r="L230" s="3">
        <v>5303.05</v>
      </c>
      <c r="M230" s="3">
        <v>903.4</v>
      </c>
      <c r="N230" t="s">
        <v>29</v>
      </c>
    </row>
    <row r="231" spans="1:14" x14ac:dyDescent="0.3">
      <c r="A231" t="s">
        <v>334</v>
      </c>
      <c r="B231" s="2">
        <v>45314</v>
      </c>
      <c r="C231" t="s">
        <v>134</v>
      </c>
      <c r="D231" t="s">
        <v>24</v>
      </c>
      <c r="E231" t="s">
        <v>47</v>
      </c>
      <c r="F231" t="s">
        <v>73</v>
      </c>
      <c r="G231" t="s">
        <v>27</v>
      </c>
      <c r="H231" t="s">
        <v>28</v>
      </c>
      <c r="I231">
        <v>1</v>
      </c>
      <c r="J231" s="3">
        <v>51041.49</v>
      </c>
      <c r="K231" s="3">
        <v>51041.49</v>
      </c>
      <c r="L231" s="3">
        <v>44849.99</v>
      </c>
      <c r="M231" s="3">
        <v>6191.5</v>
      </c>
      <c r="N231" t="s">
        <v>29</v>
      </c>
    </row>
    <row r="232" spans="1:14" x14ac:dyDescent="0.3">
      <c r="A232" t="s">
        <v>335</v>
      </c>
      <c r="B232" s="2">
        <v>45586</v>
      </c>
      <c r="C232" t="s">
        <v>76</v>
      </c>
      <c r="D232" t="s">
        <v>65</v>
      </c>
      <c r="E232" t="s">
        <v>113</v>
      </c>
      <c r="F232" t="s">
        <v>114</v>
      </c>
      <c r="G232" t="s">
        <v>27</v>
      </c>
      <c r="H232" t="s">
        <v>28</v>
      </c>
      <c r="I232">
        <v>6</v>
      </c>
      <c r="J232" s="3">
        <v>55233.760000000002</v>
      </c>
      <c r="K232" s="3">
        <v>331402.56</v>
      </c>
      <c r="L232" s="3">
        <v>252764.72</v>
      </c>
      <c r="M232" s="3">
        <v>78637.84</v>
      </c>
      <c r="N232" t="s">
        <v>21</v>
      </c>
    </row>
    <row r="233" spans="1:14" x14ac:dyDescent="0.3">
      <c r="A233" t="s">
        <v>336</v>
      </c>
      <c r="B233" s="2">
        <v>45577</v>
      </c>
      <c r="C233" t="s">
        <v>139</v>
      </c>
      <c r="D233" t="s">
        <v>39</v>
      </c>
      <c r="E233" t="s">
        <v>70</v>
      </c>
      <c r="F233" t="s">
        <v>71</v>
      </c>
      <c r="G233" t="s">
        <v>19</v>
      </c>
      <c r="H233" t="s">
        <v>147</v>
      </c>
      <c r="I233">
        <v>3</v>
      </c>
      <c r="J233" s="3">
        <v>3047.29</v>
      </c>
      <c r="K233" s="3">
        <v>9141.8700000000008</v>
      </c>
      <c r="L233" s="3">
        <v>7443.94</v>
      </c>
      <c r="M233" s="3">
        <v>1697.93</v>
      </c>
      <c r="N233" t="s">
        <v>36</v>
      </c>
    </row>
    <row r="234" spans="1:14" x14ac:dyDescent="0.3">
      <c r="A234" t="s">
        <v>337</v>
      </c>
      <c r="B234" s="2">
        <v>45648</v>
      </c>
      <c r="C234" t="s">
        <v>134</v>
      </c>
      <c r="D234" t="s">
        <v>24</v>
      </c>
      <c r="E234" t="s">
        <v>47</v>
      </c>
      <c r="F234" t="s">
        <v>73</v>
      </c>
      <c r="G234" t="s">
        <v>27</v>
      </c>
      <c r="H234" t="s">
        <v>61</v>
      </c>
      <c r="I234">
        <v>2</v>
      </c>
      <c r="J234" s="3">
        <v>4728.97</v>
      </c>
      <c r="K234" s="3">
        <v>9457.94</v>
      </c>
      <c r="L234" s="3">
        <v>7327.1</v>
      </c>
      <c r="M234" s="3">
        <v>2130.84</v>
      </c>
      <c r="N234" t="s">
        <v>36</v>
      </c>
    </row>
    <row r="235" spans="1:14" x14ac:dyDescent="0.3">
      <c r="A235" t="s">
        <v>338</v>
      </c>
      <c r="B235" s="2">
        <v>45654</v>
      </c>
      <c r="C235" t="s">
        <v>89</v>
      </c>
      <c r="D235" t="s">
        <v>39</v>
      </c>
      <c r="E235" t="s">
        <v>70</v>
      </c>
      <c r="F235" t="s">
        <v>71</v>
      </c>
      <c r="G235" t="s">
        <v>42</v>
      </c>
      <c r="H235" t="s">
        <v>111</v>
      </c>
      <c r="I235">
        <v>4</v>
      </c>
      <c r="J235" s="3">
        <v>1749.69</v>
      </c>
      <c r="K235" s="3">
        <v>6998.76</v>
      </c>
      <c r="L235" s="3">
        <v>5539.22</v>
      </c>
      <c r="M235" s="3">
        <v>1459.54</v>
      </c>
      <c r="N235" t="s">
        <v>54</v>
      </c>
    </row>
    <row r="236" spans="1:14" x14ac:dyDescent="0.3">
      <c r="A236" t="s">
        <v>339</v>
      </c>
      <c r="B236" s="2">
        <v>45416</v>
      </c>
      <c r="C236" t="s">
        <v>23</v>
      </c>
      <c r="D236" t="s">
        <v>65</v>
      </c>
      <c r="E236" t="s">
        <v>123</v>
      </c>
      <c r="F236" t="s">
        <v>124</v>
      </c>
      <c r="G236" t="s">
        <v>34</v>
      </c>
      <c r="H236" t="s">
        <v>87</v>
      </c>
      <c r="I236">
        <v>4</v>
      </c>
      <c r="J236" s="3">
        <v>748.6</v>
      </c>
      <c r="K236" s="3">
        <v>2994.4</v>
      </c>
      <c r="L236" s="3">
        <v>2091.5700000000002</v>
      </c>
      <c r="M236" s="3">
        <v>902.83</v>
      </c>
      <c r="N236" t="s">
        <v>21</v>
      </c>
    </row>
    <row r="237" spans="1:14" x14ac:dyDescent="0.3">
      <c r="A237" t="s">
        <v>340</v>
      </c>
      <c r="B237" s="2">
        <v>45429</v>
      </c>
      <c r="C237" t="s">
        <v>122</v>
      </c>
      <c r="D237" t="s">
        <v>24</v>
      </c>
      <c r="E237" t="s">
        <v>25</v>
      </c>
      <c r="F237" t="s">
        <v>26</v>
      </c>
      <c r="G237" t="s">
        <v>82</v>
      </c>
      <c r="H237" t="s">
        <v>100</v>
      </c>
      <c r="I237">
        <v>5</v>
      </c>
      <c r="J237" s="3">
        <v>940.37</v>
      </c>
      <c r="K237" s="3">
        <v>4701.8500000000004</v>
      </c>
      <c r="L237" s="3">
        <v>3722.78</v>
      </c>
      <c r="M237" s="3">
        <v>979.07</v>
      </c>
      <c r="N237" t="s">
        <v>62</v>
      </c>
    </row>
    <row r="238" spans="1:14" x14ac:dyDescent="0.3">
      <c r="A238" t="s">
        <v>341</v>
      </c>
      <c r="B238" s="2">
        <v>45462</v>
      </c>
      <c r="C238" t="s">
        <v>122</v>
      </c>
      <c r="D238" t="s">
        <v>65</v>
      </c>
      <c r="E238" t="s">
        <v>66</v>
      </c>
      <c r="F238" t="s">
        <v>67</v>
      </c>
      <c r="G238" t="s">
        <v>27</v>
      </c>
      <c r="H238" t="s">
        <v>28</v>
      </c>
      <c r="I238">
        <v>6</v>
      </c>
      <c r="J238" s="3">
        <v>50790.48</v>
      </c>
      <c r="K238" s="3">
        <v>304742.88</v>
      </c>
      <c r="L238" s="3">
        <v>268147.65000000002</v>
      </c>
      <c r="M238" s="3">
        <v>36595.230000000003</v>
      </c>
      <c r="N238" t="s">
        <v>62</v>
      </c>
    </row>
    <row r="239" spans="1:14" x14ac:dyDescent="0.3">
      <c r="A239" t="s">
        <v>342</v>
      </c>
      <c r="B239" s="2">
        <v>45648</v>
      </c>
      <c r="C239" t="s">
        <v>15</v>
      </c>
      <c r="D239" t="s">
        <v>39</v>
      </c>
      <c r="E239" t="s">
        <v>70</v>
      </c>
      <c r="F239" t="s">
        <v>71</v>
      </c>
      <c r="G239" t="s">
        <v>42</v>
      </c>
      <c r="H239" t="s">
        <v>111</v>
      </c>
      <c r="I239">
        <v>3</v>
      </c>
      <c r="J239" s="3">
        <v>1688.16</v>
      </c>
      <c r="K239" s="3">
        <v>5064.4799999999996</v>
      </c>
      <c r="L239" s="3">
        <v>3829.42</v>
      </c>
      <c r="M239" s="3">
        <v>1235.06</v>
      </c>
      <c r="N239" t="s">
        <v>29</v>
      </c>
    </row>
    <row r="240" spans="1:14" x14ac:dyDescent="0.3">
      <c r="A240" t="s">
        <v>343</v>
      </c>
      <c r="B240" s="2">
        <v>45475</v>
      </c>
      <c r="C240" t="s">
        <v>122</v>
      </c>
      <c r="D240" t="s">
        <v>65</v>
      </c>
      <c r="E240" t="s">
        <v>113</v>
      </c>
      <c r="F240" t="s">
        <v>114</v>
      </c>
      <c r="G240" t="s">
        <v>34</v>
      </c>
      <c r="H240" t="s">
        <v>49</v>
      </c>
      <c r="I240">
        <v>4</v>
      </c>
      <c r="J240" s="3">
        <v>2943.11</v>
      </c>
      <c r="K240" s="3">
        <v>11772.44</v>
      </c>
      <c r="L240" s="3">
        <v>10315.76</v>
      </c>
      <c r="M240" s="3">
        <v>1456.68</v>
      </c>
      <c r="N240" t="s">
        <v>36</v>
      </c>
    </row>
    <row r="241" spans="1:14" x14ac:dyDescent="0.3">
      <c r="A241" t="s">
        <v>344</v>
      </c>
      <c r="B241" s="2">
        <v>45396</v>
      </c>
      <c r="C241" t="s">
        <v>15</v>
      </c>
      <c r="D241" t="s">
        <v>65</v>
      </c>
      <c r="E241" t="s">
        <v>113</v>
      </c>
      <c r="F241" t="s">
        <v>114</v>
      </c>
      <c r="G241" t="s">
        <v>34</v>
      </c>
      <c r="H241" t="s">
        <v>94</v>
      </c>
      <c r="I241">
        <v>2</v>
      </c>
      <c r="J241" s="3">
        <v>1467.55</v>
      </c>
      <c r="K241" s="3">
        <v>2935.1</v>
      </c>
      <c r="L241" s="3">
        <v>2005.39</v>
      </c>
      <c r="M241" s="3">
        <v>929.71</v>
      </c>
      <c r="N241" t="s">
        <v>44</v>
      </c>
    </row>
    <row r="242" spans="1:14" x14ac:dyDescent="0.3">
      <c r="A242" t="s">
        <v>345</v>
      </c>
      <c r="B242" s="2">
        <v>45588</v>
      </c>
      <c r="C242" t="s">
        <v>122</v>
      </c>
      <c r="D242" t="s">
        <v>24</v>
      </c>
      <c r="E242" t="s">
        <v>57</v>
      </c>
      <c r="F242" t="s">
        <v>58</v>
      </c>
      <c r="G242" t="s">
        <v>27</v>
      </c>
      <c r="H242" t="s">
        <v>59</v>
      </c>
      <c r="I242">
        <v>2</v>
      </c>
      <c r="J242" s="3">
        <v>2439.92</v>
      </c>
      <c r="K242" s="3">
        <v>4879.84</v>
      </c>
      <c r="L242" s="3">
        <v>4131.63</v>
      </c>
      <c r="M242" s="3">
        <v>748.21</v>
      </c>
      <c r="N242" t="s">
        <v>44</v>
      </c>
    </row>
    <row r="243" spans="1:14" x14ac:dyDescent="0.3">
      <c r="A243" t="s">
        <v>346</v>
      </c>
      <c r="B243" s="2">
        <v>45627</v>
      </c>
      <c r="C243" t="s">
        <v>144</v>
      </c>
      <c r="D243" t="s">
        <v>65</v>
      </c>
      <c r="E243" t="s">
        <v>113</v>
      </c>
      <c r="F243" t="s">
        <v>114</v>
      </c>
      <c r="G243" t="s">
        <v>82</v>
      </c>
      <c r="H243" t="s">
        <v>135</v>
      </c>
      <c r="I243">
        <v>6</v>
      </c>
      <c r="J243" s="3">
        <v>565.59</v>
      </c>
      <c r="K243" s="3">
        <v>3393.54</v>
      </c>
      <c r="L243" s="3">
        <v>2640.58</v>
      </c>
      <c r="M243" s="3">
        <v>752.96</v>
      </c>
      <c r="N243" t="s">
        <v>29</v>
      </c>
    </row>
    <row r="244" spans="1:14" x14ac:dyDescent="0.3">
      <c r="A244" t="s">
        <v>347</v>
      </c>
      <c r="B244" s="2">
        <v>45472</v>
      </c>
      <c r="C244" t="s">
        <v>269</v>
      </c>
      <c r="D244" t="s">
        <v>39</v>
      </c>
      <c r="E244" t="s">
        <v>40</v>
      </c>
      <c r="F244" t="s">
        <v>41</v>
      </c>
      <c r="G244" t="s">
        <v>19</v>
      </c>
      <c r="H244" t="s">
        <v>77</v>
      </c>
      <c r="I244">
        <v>2</v>
      </c>
      <c r="J244" s="3">
        <v>1300.06</v>
      </c>
      <c r="K244" s="3">
        <v>2600.12</v>
      </c>
      <c r="L244" s="3">
        <v>2050.0100000000002</v>
      </c>
      <c r="M244" s="3">
        <v>550.11</v>
      </c>
      <c r="N244" t="s">
        <v>44</v>
      </c>
    </row>
    <row r="245" spans="1:14" x14ac:dyDescent="0.3">
      <c r="A245" t="s">
        <v>348</v>
      </c>
      <c r="B245" s="2">
        <v>45309</v>
      </c>
      <c r="C245" t="s">
        <v>89</v>
      </c>
      <c r="D245" t="s">
        <v>16</v>
      </c>
      <c r="E245" t="s">
        <v>17</v>
      </c>
      <c r="F245" t="s">
        <v>18</v>
      </c>
      <c r="G245" t="s">
        <v>82</v>
      </c>
      <c r="H245" t="s">
        <v>135</v>
      </c>
      <c r="I245">
        <v>2</v>
      </c>
      <c r="J245" s="3">
        <v>587.67999999999995</v>
      </c>
      <c r="K245" s="3">
        <v>1175.3599999999999</v>
      </c>
      <c r="L245" s="3">
        <v>853.65</v>
      </c>
      <c r="M245" s="3">
        <v>321.70999999999998</v>
      </c>
      <c r="N245" t="s">
        <v>21</v>
      </c>
    </row>
    <row r="246" spans="1:14" x14ac:dyDescent="0.3">
      <c r="A246" t="s">
        <v>349</v>
      </c>
      <c r="B246" s="2">
        <v>45403</v>
      </c>
      <c r="C246" t="s">
        <v>15</v>
      </c>
      <c r="D246" t="s">
        <v>24</v>
      </c>
      <c r="E246" t="s">
        <v>57</v>
      </c>
      <c r="F246" t="s">
        <v>58</v>
      </c>
      <c r="G246" t="s">
        <v>27</v>
      </c>
      <c r="H246" t="s">
        <v>91</v>
      </c>
      <c r="I246">
        <v>4</v>
      </c>
      <c r="J246" s="3">
        <v>3095.57</v>
      </c>
      <c r="K246" s="3">
        <v>12382.28</v>
      </c>
      <c r="L246" s="3">
        <v>8458.91</v>
      </c>
      <c r="M246" s="3">
        <v>3923.37</v>
      </c>
      <c r="N246" t="s">
        <v>44</v>
      </c>
    </row>
    <row r="247" spans="1:14" x14ac:dyDescent="0.3">
      <c r="A247" t="s">
        <v>350</v>
      </c>
      <c r="B247" s="2">
        <v>45502</v>
      </c>
      <c r="C247" t="s">
        <v>31</v>
      </c>
      <c r="D247" t="s">
        <v>16</v>
      </c>
      <c r="E247" t="s">
        <v>17</v>
      </c>
      <c r="F247" t="s">
        <v>18</v>
      </c>
      <c r="G247" t="s">
        <v>34</v>
      </c>
      <c r="H247" t="s">
        <v>35</v>
      </c>
      <c r="I247">
        <v>5</v>
      </c>
      <c r="J247" s="3">
        <v>2738.74</v>
      </c>
      <c r="K247" s="3">
        <v>13693.7</v>
      </c>
      <c r="L247" s="3">
        <v>9358.67</v>
      </c>
      <c r="M247" s="3">
        <v>4335.03</v>
      </c>
      <c r="N247" t="s">
        <v>62</v>
      </c>
    </row>
    <row r="248" spans="1:14" x14ac:dyDescent="0.3">
      <c r="A248" t="s">
        <v>351</v>
      </c>
      <c r="B248" s="2">
        <v>45346</v>
      </c>
      <c r="C248" t="s">
        <v>105</v>
      </c>
      <c r="D248" t="s">
        <v>16</v>
      </c>
      <c r="E248" t="s">
        <v>117</v>
      </c>
      <c r="F248" t="s">
        <v>118</v>
      </c>
      <c r="G248" t="s">
        <v>27</v>
      </c>
      <c r="H248" t="s">
        <v>91</v>
      </c>
      <c r="I248">
        <v>5</v>
      </c>
      <c r="J248" s="3">
        <v>2851.45</v>
      </c>
      <c r="K248" s="3">
        <v>14257.25</v>
      </c>
      <c r="L248" s="3">
        <v>10705.6</v>
      </c>
      <c r="M248" s="3">
        <v>3551.65</v>
      </c>
      <c r="N248" t="s">
        <v>21</v>
      </c>
    </row>
    <row r="249" spans="1:14" x14ac:dyDescent="0.3">
      <c r="A249" t="s">
        <v>352</v>
      </c>
      <c r="B249" s="2">
        <v>45483</v>
      </c>
      <c r="C249" t="s">
        <v>269</v>
      </c>
      <c r="D249" t="s">
        <v>24</v>
      </c>
      <c r="E249" t="s">
        <v>47</v>
      </c>
      <c r="F249" t="s">
        <v>73</v>
      </c>
      <c r="G249" t="s">
        <v>19</v>
      </c>
      <c r="H249" t="s">
        <v>20</v>
      </c>
      <c r="I249">
        <v>3</v>
      </c>
      <c r="J249" s="3">
        <v>6739.25</v>
      </c>
      <c r="K249" s="3">
        <v>20217.75</v>
      </c>
      <c r="L249" s="3">
        <v>17176.46</v>
      </c>
      <c r="M249" s="3">
        <v>3041.29</v>
      </c>
      <c r="N249" t="s">
        <v>21</v>
      </c>
    </row>
    <row r="250" spans="1:14" x14ac:dyDescent="0.3">
      <c r="A250" t="s">
        <v>353</v>
      </c>
      <c r="B250" s="2">
        <v>45499</v>
      </c>
      <c r="C250" t="s">
        <v>122</v>
      </c>
      <c r="D250" t="s">
        <v>24</v>
      </c>
      <c r="E250" t="s">
        <v>47</v>
      </c>
      <c r="F250" t="s">
        <v>73</v>
      </c>
      <c r="G250" t="s">
        <v>19</v>
      </c>
      <c r="H250" t="s">
        <v>147</v>
      </c>
      <c r="I250">
        <v>6</v>
      </c>
      <c r="J250" s="3">
        <v>2525.29</v>
      </c>
      <c r="K250" s="3">
        <v>15151.74</v>
      </c>
      <c r="L250" s="3">
        <v>10822.54</v>
      </c>
      <c r="M250" s="3">
        <v>4329.2</v>
      </c>
      <c r="N250" t="s">
        <v>54</v>
      </c>
    </row>
    <row r="251" spans="1:14" x14ac:dyDescent="0.3">
      <c r="A251" t="s">
        <v>354</v>
      </c>
      <c r="B251" s="2">
        <v>45622</v>
      </c>
      <c r="C251" t="s">
        <v>64</v>
      </c>
      <c r="D251" t="s">
        <v>65</v>
      </c>
      <c r="E251" t="s">
        <v>66</v>
      </c>
      <c r="F251" t="s">
        <v>67</v>
      </c>
      <c r="G251" t="s">
        <v>82</v>
      </c>
      <c r="H251" t="s">
        <v>126</v>
      </c>
      <c r="I251">
        <v>2</v>
      </c>
      <c r="J251" s="3">
        <v>424.03</v>
      </c>
      <c r="K251" s="3">
        <v>848.06</v>
      </c>
      <c r="L251" s="3">
        <v>723.92</v>
      </c>
      <c r="M251" s="3">
        <v>124.14</v>
      </c>
      <c r="N251" t="s">
        <v>54</v>
      </c>
    </row>
    <row r="252" spans="1:14" x14ac:dyDescent="0.3">
      <c r="A252" t="s">
        <v>355</v>
      </c>
      <c r="B252" s="2">
        <v>45430</v>
      </c>
      <c r="C252" t="s">
        <v>93</v>
      </c>
      <c r="D252" t="s">
        <v>16</v>
      </c>
      <c r="E252" t="s">
        <v>17</v>
      </c>
      <c r="F252" t="s">
        <v>18</v>
      </c>
      <c r="G252" t="s">
        <v>19</v>
      </c>
      <c r="H252" t="s">
        <v>171</v>
      </c>
      <c r="I252">
        <v>5</v>
      </c>
      <c r="J252" s="3">
        <v>4253.3500000000004</v>
      </c>
      <c r="K252" s="3">
        <v>21266.75</v>
      </c>
      <c r="L252" s="3">
        <v>14601.33</v>
      </c>
      <c r="M252" s="3">
        <v>6665.42</v>
      </c>
      <c r="N252" t="s">
        <v>21</v>
      </c>
    </row>
    <row r="253" spans="1:14" x14ac:dyDescent="0.3">
      <c r="A253" t="s">
        <v>356</v>
      </c>
      <c r="B253" s="2">
        <v>45398</v>
      </c>
      <c r="C253" t="s">
        <v>105</v>
      </c>
      <c r="D253" t="s">
        <v>39</v>
      </c>
      <c r="E253" t="s">
        <v>70</v>
      </c>
      <c r="F253" t="s">
        <v>71</v>
      </c>
      <c r="G253" t="s">
        <v>42</v>
      </c>
      <c r="H253" t="s">
        <v>43</v>
      </c>
      <c r="I253">
        <v>2</v>
      </c>
      <c r="J253" s="3">
        <v>2835.82</v>
      </c>
      <c r="K253" s="3">
        <v>5671.64</v>
      </c>
      <c r="L253" s="3">
        <v>4499.53</v>
      </c>
      <c r="M253" s="3">
        <v>1172.1099999999999</v>
      </c>
      <c r="N253" t="s">
        <v>29</v>
      </c>
    </row>
    <row r="254" spans="1:14" x14ac:dyDescent="0.3">
      <c r="A254" t="s">
        <v>357</v>
      </c>
      <c r="B254" s="2">
        <v>45568</v>
      </c>
      <c r="C254" t="s">
        <v>38</v>
      </c>
      <c r="D254" t="s">
        <v>65</v>
      </c>
      <c r="E254" t="s">
        <v>131</v>
      </c>
      <c r="F254" t="s">
        <v>132</v>
      </c>
      <c r="G254" t="s">
        <v>82</v>
      </c>
      <c r="H254" t="s">
        <v>100</v>
      </c>
      <c r="I254">
        <v>6</v>
      </c>
      <c r="J254" s="3">
        <v>940.35</v>
      </c>
      <c r="K254" s="3">
        <v>5642.1</v>
      </c>
      <c r="L254" s="3">
        <v>4401.7299999999996</v>
      </c>
      <c r="M254" s="3">
        <v>1240.3699999999999</v>
      </c>
      <c r="N254" t="s">
        <v>21</v>
      </c>
    </row>
    <row r="255" spans="1:14" x14ac:dyDescent="0.3">
      <c r="A255" t="s">
        <v>358</v>
      </c>
      <c r="B255" s="2">
        <v>45342</v>
      </c>
      <c r="C255" t="s">
        <v>105</v>
      </c>
      <c r="D255" t="s">
        <v>24</v>
      </c>
      <c r="E255" t="s">
        <v>32</v>
      </c>
      <c r="F255" t="s">
        <v>33</v>
      </c>
      <c r="G255" t="s">
        <v>82</v>
      </c>
      <c r="H255" t="s">
        <v>83</v>
      </c>
      <c r="I255">
        <v>5</v>
      </c>
      <c r="J255" s="3">
        <v>684.97</v>
      </c>
      <c r="K255" s="3">
        <v>3424.85</v>
      </c>
      <c r="L255" s="3">
        <v>2982.95</v>
      </c>
      <c r="M255" s="3">
        <v>441.9</v>
      </c>
      <c r="N255" t="s">
        <v>36</v>
      </c>
    </row>
    <row r="256" spans="1:14" x14ac:dyDescent="0.3">
      <c r="A256" t="s">
        <v>359</v>
      </c>
      <c r="B256" s="2">
        <v>45307</v>
      </c>
      <c r="C256" t="s">
        <v>64</v>
      </c>
      <c r="D256" t="s">
        <v>65</v>
      </c>
      <c r="E256" t="s">
        <v>131</v>
      </c>
      <c r="F256" t="s">
        <v>132</v>
      </c>
      <c r="G256" t="s">
        <v>34</v>
      </c>
      <c r="H256" t="s">
        <v>35</v>
      </c>
      <c r="I256">
        <v>5</v>
      </c>
      <c r="J256" s="3">
        <v>2720.57</v>
      </c>
      <c r="K256" s="3">
        <v>13602.85</v>
      </c>
      <c r="L256" s="3">
        <v>10424.81</v>
      </c>
      <c r="M256" s="3">
        <v>3178.04</v>
      </c>
      <c r="N256" t="s">
        <v>29</v>
      </c>
    </row>
    <row r="257" spans="1:14" x14ac:dyDescent="0.3">
      <c r="A257" t="s">
        <v>360</v>
      </c>
      <c r="B257" s="2">
        <v>45486</v>
      </c>
      <c r="C257" t="s">
        <v>89</v>
      </c>
      <c r="D257" t="s">
        <v>16</v>
      </c>
      <c r="E257" t="s">
        <v>80</v>
      </c>
      <c r="F257" t="s">
        <v>81</v>
      </c>
      <c r="G257" t="s">
        <v>82</v>
      </c>
      <c r="H257" t="s">
        <v>126</v>
      </c>
      <c r="I257">
        <v>1</v>
      </c>
      <c r="J257" s="3">
        <v>429.12</v>
      </c>
      <c r="K257" s="3">
        <v>429.12</v>
      </c>
      <c r="L257" s="3">
        <v>324.41000000000003</v>
      </c>
      <c r="M257" s="3">
        <v>104.71</v>
      </c>
      <c r="N257" t="s">
        <v>29</v>
      </c>
    </row>
    <row r="258" spans="1:14" x14ac:dyDescent="0.3">
      <c r="A258" t="s">
        <v>361</v>
      </c>
      <c r="B258" s="2">
        <v>45491</v>
      </c>
      <c r="C258" t="s">
        <v>51</v>
      </c>
      <c r="D258" t="s">
        <v>65</v>
      </c>
      <c r="E258" t="s">
        <v>113</v>
      </c>
      <c r="F258" t="s">
        <v>114</v>
      </c>
      <c r="G258" t="s">
        <v>27</v>
      </c>
      <c r="H258" t="s">
        <v>68</v>
      </c>
      <c r="I258">
        <v>3</v>
      </c>
      <c r="J258" s="3">
        <v>17801.05</v>
      </c>
      <c r="K258" s="3">
        <v>53403.15</v>
      </c>
      <c r="L258" s="3">
        <v>44445.8</v>
      </c>
      <c r="M258" s="3">
        <v>8957.35</v>
      </c>
      <c r="N258" t="s">
        <v>62</v>
      </c>
    </row>
    <row r="259" spans="1:14" x14ac:dyDescent="0.3">
      <c r="A259" t="s">
        <v>362</v>
      </c>
      <c r="B259" s="2">
        <v>45336</v>
      </c>
      <c r="C259" t="s">
        <v>38</v>
      </c>
      <c r="D259" t="s">
        <v>39</v>
      </c>
      <c r="E259" t="s">
        <v>70</v>
      </c>
      <c r="F259" t="s">
        <v>71</v>
      </c>
      <c r="G259" t="s">
        <v>34</v>
      </c>
      <c r="H259" t="s">
        <v>94</v>
      </c>
      <c r="I259">
        <v>5</v>
      </c>
      <c r="J259" s="3">
        <v>1374.25</v>
      </c>
      <c r="K259" s="3">
        <v>6871.25</v>
      </c>
      <c r="L259" s="3">
        <v>4708.54</v>
      </c>
      <c r="M259" s="3">
        <v>2162.71</v>
      </c>
      <c r="N259" t="s">
        <v>44</v>
      </c>
    </row>
    <row r="260" spans="1:14" x14ac:dyDescent="0.3">
      <c r="A260" t="s">
        <v>363</v>
      </c>
      <c r="B260" s="2">
        <v>45339</v>
      </c>
      <c r="C260" t="s">
        <v>15</v>
      </c>
      <c r="D260" t="s">
        <v>65</v>
      </c>
      <c r="E260" t="s">
        <v>131</v>
      </c>
      <c r="F260" t="s">
        <v>132</v>
      </c>
      <c r="G260" t="s">
        <v>27</v>
      </c>
      <c r="H260" t="s">
        <v>61</v>
      </c>
      <c r="I260">
        <v>4</v>
      </c>
      <c r="J260" s="3">
        <v>4751.25</v>
      </c>
      <c r="K260" s="3">
        <v>19005</v>
      </c>
      <c r="L260" s="3">
        <v>15678.53</v>
      </c>
      <c r="M260" s="3">
        <v>3326.47</v>
      </c>
      <c r="N260" t="s">
        <v>62</v>
      </c>
    </row>
    <row r="261" spans="1:14" x14ac:dyDescent="0.3">
      <c r="A261" t="s">
        <v>364</v>
      </c>
      <c r="B261" s="2">
        <v>45584</v>
      </c>
      <c r="C261" t="s">
        <v>144</v>
      </c>
      <c r="D261" t="s">
        <v>39</v>
      </c>
      <c r="E261" t="s">
        <v>70</v>
      </c>
      <c r="F261" t="s">
        <v>71</v>
      </c>
      <c r="G261" t="s">
        <v>27</v>
      </c>
      <c r="H261" t="s">
        <v>59</v>
      </c>
      <c r="I261">
        <v>3</v>
      </c>
      <c r="J261" s="3">
        <v>2384.1999999999998</v>
      </c>
      <c r="K261" s="3">
        <v>7152.6</v>
      </c>
      <c r="L261" s="3">
        <v>5072.53</v>
      </c>
      <c r="M261" s="3">
        <v>2080.0700000000002</v>
      </c>
      <c r="N261" t="s">
        <v>54</v>
      </c>
    </row>
    <row r="262" spans="1:14" x14ac:dyDescent="0.3">
      <c r="A262" t="s">
        <v>365</v>
      </c>
      <c r="B262" s="2">
        <v>45433</v>
      </c>
      <c r="C262" t="s">
        <v>122</v>
      </c>
      <c r="D262" t="s">
        <v>24</v>
      </c>
      <c r="E262" t="s">
        <v>57</v>
      </c>
      <c r="F262" t="s">
        <v>58</v>
      </c>
      <c r="G262" t="s">
        <v>34</v>
      </c>
      <c r="H262" t="s">
        <v>87</v>
      </c>
      <c r="I262">
        <v>3</v>
      </c>
      <c r="J262" s="3">
        <v>665.24</v>
      </c>
      <c r="K262" s="3">
        <v>1995.72</v>
      </c>
      <c r="L262" s="3">
        <v>1455.51</v>
      </c>
      <c r="M262" s="3">
        <v>540.21</v>
      </c>
      <c r="N262" t="s">
        <v>44</v>
      </c>
    </row>
    <row r="263" spans="1:14" x14ac:dyDescent="0.3">
      <c r="A263" t="s">
        <v>366</v>
      </c>
      <c r="B263" s="2">
        <v>45607</v>
      </c>
      <c r="C263" t="s">
        <v>46</v>
      </c>
      <c r="D263" t="s">
        <v>39</v>
      </c>
      <c r="E263" t="s">
        <v>70</v>
      </c>
      <c r="F263" t="s">
        <v>71</v>
      </c>
      <c r="G263" t="s">
        <v>27</v>
      </c>
      <c r="H263" t="s">
        <v>59</v>
      </c>
      <c r="I263">
        <v>1</v>
      </c>
      <c r="J263" s="3">
        <v>2724.41</v>
      </c>
      <c r="K263" s="3">
        <v>2724.41</v>
      </c>
      <c r="L263" s="3">
        <v>2033.62</v>
      </c>
      <c r="M263" s="3">
        <v>690.79</v>
      </c>
      <c r="N263" t="s">
        <v>54</v>
      </c>
    </row>
    <row r="264" spans="1:14" x14ac:dyDescent="0.3">
      <c r="A264" t="s">
        <v>367</v>
      </c>
      <c r="B264" s="2">
        <v>45460</v>
      </c>
      <c r="C264" t="s">
        <v>23</v>
      </c>
      <c r="D264" t="s">
        <v>24</v>
      </c>
      <c r="E264" t="s">
        <v>57</v>
      </c>
      <c r="F264" t="s">
        <v>58</v>
      </c>
      <c r="G264" t="s">
        <v>34</v>
      </c>
      <c r="H264" t="s">
        <v>94</v>
      </c>
      <c r="I264">
        <v>2</v>
      </c>
      <c r="J264" s="3">
        <v>1344.12</v>
      </c>
      <c r="K264" s="3">
        <v>2688.24</v>
      </c>
      <c r="L264" s="3">
        <v>2152.3200000000002</v>
      </c>
      <c r="M264" s="3">
        <v>535.91999999999996</v>
      </c>
      <c r="N264" t="s">
        <v>54</v>
      </c>
    </row>
    <row r="265" spans="1:14" x14ac:dyDescent="0.3">
      <c r="A265" t="s">
        <v>368</v>
      </c>
      <c r="B265" s="2">
        <v>45452</v>
      </c>
      <c r="C265" t="s">
        <v>64</v>
      </c>
      <c r="D265" t="s">
        <v>39</v>
      </c>
      <c r="E265" t="s">
        <v>70</v>
      </c>
      <c r="F265" t="s">
        <v>71</v>
      </c>
      <c r="G265" t="s">
        <v>42</v>
      </c>
      <c r="H265" t="s">
        <v>43</v>
      </c>
      <c r="I265">
        <v>6</v>
      </c>
      <c r="J265" s="3">
        <v>2909.18</v>
      </c>
      <c r="K265" s="3">
        <v>17455.080000000002</v>
      </c>
      <c r="L265" s="3">
        <v>13583.57</v>
      </c>
      <c r="M265" s="3">
        <v>3871.51</v>
      </c>
      <c r="N265" t="s">
        <v>62</v>
      </c>
    </row>
    <row r="266" spans="1:14" x14ac:dyDescent="0.3">
      <c r="A266" t="s">
        <v>369</v>
      </c>
      <c r="B266" s="2">
        <v>45458</v>
      </c>
      <c r="C266" t="s">
        <v>64</v>
      </c>
      <c r="D266" t="s">
        <v>24</v>
      </c>
      <c r="E266" t="s">
        <v>57</v>
      </c>
      <c r="F266" t="s">
        <v>58</v>
      </c>
      <c r="G266" t="s">
        <v>82</v>
      </c>
      <c r="H266" t="s">
        <v>135</v>
      </c>
      <c r="I266">
        <v>3</v>
      </c>
      <c r="J266" s="3">
        <v>507.53</v>
      </c>
      <c r="K266" s="3">
        <v>1522.59</v>
      </c>
      <c r="L266" s="3">
        <v>1207.06</v>
      </c>
      <c r="M266" s="3">
        <v>315.52999999999997</v>
      </c>
      <c r="N266" t="s">
        <v>44</v>
      </c>
    </row>
    <row r="267" spans="1:14" x14ac:dyDescent="0.3">
      <c r="A267" t="s">
        <v>370</v>
      </c>
      <c r="B267" s="2">
        <v>45384</v>
      </c>
      <c r="C267" t="s">
        <v>56</v>
      </c>
      <c r="D267" t="s">
        <v>16</v>
      </c>
      <c r="E267" t="s">
        <v>47</v>
      </c>
      <c r="F267" t="s">
        <v>48</v>
      </c>
      <c r="G267" t="s">
        <v>42</v>
      </c>
      <c r="H267" t="s">
        <v>106</v>
      </c>
      <c r="I267">
        <v>4</v>
      </c>
      <c r="J267" s="3">
        <v>953.58</v>
      </c>
      <c r="K267" s="3">
        <v>3814.32</v>
      </c>
      <c r="L267" s="3">
        <v>3227.89</v>
      </c>
      <c r="M267" s="3">
        <v>586.42999999999995</v>
      </c>
      <c r="N267" t="s">
        <v>54</v>
      </c>
    </row>
    <row r="268" spans="1:14" x14ac:dyDescent="0.3">
      <c r="A268" t="s">
        <v>371</v>
      </c>
      <c r="B268" s="2">
        <v>45636</v>
      </c>
      <c r="C268" t="s">
        <v>105</v>
      </c>
      <c r="D268" t="s">
        <v>24</v>
      </c>
      <c r="E268" t="s">
        <v>32</v>
      </c>
      <c r="F268" t="s">
        <v>33</v>
      </c>
      <c r="G268" t="s">
        <v>19</v>
      </c>
      <c r="H268" t="s">
        <v>20</v>
      </c>
      <c r="I268">
        <v>3</v>
      </c>
      <c r="J268" s="3">
        <v>6706.26</v>
      </c>
      <c r="K268" s="3">
        <v>20118.78</v>
      </c>
      <c r="L268" s="3">
        <v>16558.71</v>
      </c>
      <c r="M268" s="3">
        <v>3560.07</v>
      </c>
      <c r="N268" t="s">
        <v>21</v>
      </c>
    </row>
    <row r="269" spans="1:14" x14ac:dyDescent="0.3">
      <c r="A269" t="s">
        <v>372</v>
      </c>
      <c r="B269" s="2">
        <v>45521</v>
      </c>
      <c r="C269" t="s">
        <v>15</v>
      </c>
      <c r="D269" t="s">
        <v>24</v>
      </c>
      <c r="E269" t="s">
        <v>47</v>
      </c>
      <c r="F269" t="s">
        <v>73</v>
      </c>
      <c r="G269" t="s">
        <v>34</v>
      </c>
      <c r="H269" t="s">
        <v>49</v>
      </c>
      <c r="I269">
        <v>5</v>
      </c>
      <c r="J269" s="3">
        <v>2903.53</v>
      </c>
      <c r="K269" s="3">
        <v>14517.65</v>
      </c>
      <c r="L269" s="3">
        <v>12683.86</v>
      </c>
      <c r="M269" s="3">
        <v>1833.79</v>
      </c>
      <c r="N269" t="s">
        <v>44</v>
      </c>
    </row>
    <row r="270" spans="1:14" x14ac:dyDescent="0.3">
      <c r="A270" t="s">
        <v>373</v>
      </c>
      <c r="B270" s="2">
        <v>45618</v>
      </c>
      <c r="C270" t="s">
        <v>105</v>
      </c>
      <c r="D270" t="s">
        <v>16</v>
      </c>
      <c r="E270" t="s">
        <v>17</v>
      </c>
      <c r="F270" t="s">
        <v>18</v>
      </c>
      <c r="G270" t="s">
        <v>82</v>
      </c>
      <c r="H270" t="s">
        <v>83</v>
      </c>
      <c r="I270">
        <v>2</v>
      </c>
      <c r="J270" s="3">
        <v>669.11</v>
      </c>
      <c r="K270" s="3">
        <v>1338.22</v>
      </c>
      <c r="L270" s="3">
        <v>921.85</v>
      </c>
      <c r="M270" s="3">
        <v>416.37</v>
      </c>
      <c r="N270" t="s">
        <v>36</v>
      </c>
    </row>
    <row r="271" spans="1:14" x14ac:dyDescent="0.3">
      <c r="A271" t="s">
        <v>374</v>
      </c>
      <c r="B271" s="2">
        <v>45512</v>
      </c>
      <c r="C271" t="s">
        <v>64</v>
      </c>
      <c r="D271" t="s">
        <v>16</v>
      </c>
      <c r="E271" t="s">
        <v>17</v>
      </c>
      <c r="F271" t="s">
        <v>18</v>
      </c>
      <c r="G271" t="s">
        <v>27</v>
      </c>
      <c r="H271" t="s">
        <v>28</v>
      </c>
      <c r="I271">
        <v>5</v>
      </c>
      <c r="J271" s="3">
        <v>57715.38</v>
      </c>
      <c r="K271" s="3">
        <v>288576.90000000002</v>
      </c>
      <c r="L271" s="3">
        <v>228437.09</v>
      </c>
      <c r="M271" s="3">
        <v>60139.81</v>
      </c>
      <c r="N271" t="s">
        <v>62</v>
      </c>
    </row>
    <row r="272" spans="1:14" x14ac:dyDescent="0.3">
      <c r="A272" t="s">
        <v>375</v>
      </c>
      <c r="B272" s="2">
        <v>45520</v>
      </c>
      <c r="C272" t="s">
        <v>79</v>
      </c>
      <c r="D272" t="s">
        <v>65</v>
      </c>
      <c r="E272" t="s">
        <v>131</v>
      </c>
      <c r="F272" t="s">
        <v>132</v>
      </c>
      <c r="G272" t="s">
        <v>34</v>
      </c>
      <c r="H272" t="s">
        <v>94</v>
      </c>
      <c r="I272">
        <v>6</v>
      </c>
      <c r="J272" s="3">
        <v>1400.13</v>
      </c>
      <c r="K272" s="3">
        <v>8400.7800000000007</v>
      </c>
      <c r="L272" s="3">
        <v>6292.13</v>
      </c>
      <c r="M272" s="3">
        <v>2108.65</v>
      </c>
      <c r="N272" t="s">
        <v>54</v>
      </c>
    </row>
    <row r="273" spans="1:14" x14ac:dyDescent="0.3">
      <c r="A273" t="s">
        <v>376</v>
      </c>
      <c r="B273" s="2">
        <v>45345</v>
      </c>
      <c r="C273" t="s">
        <v>38</v>
      </c>
      <c r="D273" t="s">
        <v>65</v>
      </c>
      <c r="E273" t="s">
        <v>131</v>
      </c>
      <c r="F273" t="s">
        <v>132</v>
      </c>
      <c r="G273" t="s">
        <v>42</v>
      </c>
      <c r="H273" t="s">
        <v>120</v>
      </c>
      <c r="I273">
        <v>1</v>
      </c>
      <c r="J273" s="3">
        <v>2345.7800000000002</v>
      </c>
      <c r="K273" s="3">
        <v>2345.7800000000002</v>
      </c>
      <c r="L273" s="3">
        <v>1937.68</v>
      </c>
      <c r="M273" s="3">
        <v>408.1</v>
      </c>
      <c r="N273" t="s">
        <v>36</v>
      </c>
    </row>
    <row r="274" spans="1:14" x14ac:dyDescent="0.3">
      <c r="A274" t="s">
        <v>377</v>
      </c>
      <c r="B274" s="2">
        <v>45467</v>
      </c>
      <c r="C274" t="s">
        <v>102</v>
      </c>
      <c r="D274" t="s">
        <v>24</v>
      </c>
      <c r="E274" t="s">
        <v>32</v>
      </c>
      <c r="F274" t="s">
        <v>33</v>
      </c>
      <c r="G274" t="s">
        <v>34</v>
      </c>
      <c r="H274" t="s">
        <v>35</v>
      </c>
      <c r="I274">
        <v>4</v>
      </c>
      <c r="J274" s="3">
        <v>2298.81</v>
      </c>
      <c r="K274" s="3">
        <v>9195.24</v>
      </c>
      <c r="L274" s="3">
        <v>7580.54</v>
      </c>
      <c r="M274" s="3">
        <v>1614.7</v>
      </c>
      <c r="N274" t="s">
        <v>36</v>
      </c>
    </row>
    <row r="275" spans="1:14" x14ac:dyDescent="0.3">
      <c r="A275" t="s">
        <v>378</v>
      </c>
      <c r="B275" s="2">
        <v>45326</v>
      </c>
      <c r="C275" t="s">
        <v>144</v>
      </c>
      <c r="D275" t="s">
        <v>65</v>
      </c>
      <c r="E275" t="s">
        <v>66</v>
      </c>
      <c r="F275" t="s">
        <v>67</v>
      </c>
      <c r="G275" t="s">
        <v>82</v>
      </c>
      <c r="H275" t="s">
        <v>126</v>
      </c>
      <c r="I275">
        <v>1</v>
      </c>
      <c r="J275" s="3">
        <v>481.43</v>
      </c>
      <c r="K275" s="3">
        <v>481.43</v>
      </c>
      <c r="L275" s="3">
        <v>389.76</v>
      </c>
      <c r="M275" s="3">
        <v>91.67</v>
      </c>
      <c r="N275" t="s">
        <v>29</v>
      </c>
    </row>
    <row r="276" spans="1:14" x14ac:dyDescent="0.3">
      <c r="A276" t="s">
        <v>379</v>
      </c>
      <c r="B276" s="2">
        <v>45416</v>
      </c>
      <c r="C276" t="s">
        <v>144</v>
      </c>
      <c r="D276" t="s">
        <v>39</v>
      </c>
      <c r="E276" t="s">
        <v>40</v>
      </c>
      <c r="F276" t="s">
        <v>41</v>
      </c>
      <c r="G276" t="s">
        <v>34</v>
      </c>
      <c r="H276" t="s">
        <v>49</v>
      </c>
      <c r="I276">
        <v>4</v>
      </c>
      <c r="J276" s="3">
        <v>3028.39</v>
      </c>
      <c r="K276" s="3">
        <v>12113.56</v>
      </c>
      <c r="L276" s="3">
        <v>9218.5300000000007</v>
      </c>
      <c r="M276" s="3">
        <v>2895.03</v>
      </c>
      <c r="N276" t="s">
        <v>62</v>
      </c>
    </row>
    <row r="277" spans="1:14" x14ac:dyDescent="0.3">
      <c r="A277" t="s">
        <v>380</v>
      </c>
      <c r="B277" s="2">
        <v>45619</v>
      </c>
      <c r="C277" t="s">
        <v>79</v>
      </c>
      <c r="D277" t="s">
        <v>24</v>
      </c>
      <c r="E277" t="s">
        <v>47</v>
      </c>
      <c r="F277" t="s">
        <v>73</v>
      </c>
      <c r="G277" t="s">
        <v>27</v>
      </c>
      <c r="H277" t="s">
        <v>91</v>
      </c>
      <c r="I277">
        <v>2</v>
      </c>
      <c r="J277" s="3">
        <v>2969.75</v>
      </c>
      <c r="K277" s="3">
        <v>5939.5</v>
      </c>
      <c r="L277" s="3">
        <v>4549.13</v>
      </c>
      <c r="M277" s="3">
        <v>1390.37</v>
      </c>
      <c r="N277" t="s">
        <v>29</v>
      </c>
    </row>
    <row r="278" spans="1:14" x14ac:dyDescent="0.3">
      <c r="A278" t="s">
        <v>381</v>
      </c>
      <c r="B278" s="2">
        <v>45401</v>
      </c>
      <c r="C278" t="s">
        <v>144</v>
      </c>
      <c r="D278" t="s">
        <v>39</v>
      </c>
      <c r="E278" t="s">
        <v>97</v>
      </c>
      <c r="F278" t="s">
        <v>98</v>
      </c>
      <c r="G278" t="s">
        <v>82</v>
      </c>
      <c r="H278" t="s">
        <v>126</v>
      </c>
      <c r="I278">
        <v>5</v>
      </c>
      <c r="J278" s="3">
        <v>414.16</v>
      </c>
      <c r="K278" s="3">
        <v>2070.8000000000002</v>
      </c>
      <c r="L278" s="3">
        <v>1769.28</v>
      </c>
      <c r="M278" s="3">
        <v>301.52</v>
      </c>
      <c r="N278" t="s">
        <v>36</v>
      </c>
    </row>
    <row r="279" spans="1:14" x14ac:dyDescent="0.3">
      <c r="A279" t="s">
        <v>382</v>
      </c>
      <c r="B279" s="2">
        <v>45458</v>
      </c>
      <c r="C279" t="s">
        <v>105</v>
      </c>
      <c r="D279" t="s">
        <v>39</v>
      </c>
      <c r="E279" t="s">
        <v>70</v>
      </c>
      <c r="F279" t="s">
        <v>71</v>
      </c>
      <c r="G279" t="s">
        <v>27</v>
      </c>
      <c r="H279" t="s">
        <v>61</v>
      </c>
      <c r="I279">
        <v>5</v>
      </c>
      <c r="J279" s="3">
        <v>4919.32</v>
      </c>
      <c r="K279" s="3">
        <v>24596.6</v>
      </c>
      <c r="L279" s="3">
        <v>18267.419999999998</v>
      </c>
      <c r="M279" s="3">
        <v>6329.18</v>
      </c>
      <c r="N279" t="s">
        <v>44</v>
      </c>
    </row>
    <row r="280" spans="1:14" x14ac:dyDescent="0.3">
      <c r="A280" t="s">
        <v>383</v>
      </c>
      <c r="B280" s="2">
        <v>45492</v>
      </c>
      <c r="C280" t="s">
        <v>86</v>
      </c>
      <c r="D280" t="s">
        <v>16</v>
      </c>
      <c r="E280" t="s">
        <v>80</v>
      </c>
      <c r="F280" t="s">
        <v>81</v>
      </c>
      <c r="G280" t="s">
        <v>34</v>
      </c>
      <c r="H280" t="s">
        <v>49</v>
      </c>
      <c r="I280">
        <v>5</v>
      </c>
      <c r="J280" s="3">
        <v>2990.42</v>
      </c>
      <c r="K280" s="3">
        <v>14952.1</v>
      </c>
      <c r="L280" s="3">
        <v>12181.74</v>
      </c>
      <c r="M280" s="3">
        <v>2770.36</v>
      </c>
      <c r="N280" t="s">
        <v>44</v>
      </c>
    </row>
    <row r="281" spans="1:14" x14ac:dyDescent="0.3">
      <c r="A281" t="s">
        <v>384</v>
      </c>
      <c r="B281" s="2">
        <v>45594</v>
      </c>
      <c r="C281" t="s">
        <v>89</v>
      </c>
      <c r="D281" t="s">
        <v>16</v>
      </c>
      <c r="E281" t="s">
        <v>117</v>
      </c>
      <c r="F281" t="s">
        <v>118</v>
      </c>
      <c r="G281" t="s">
        <v>34</v>
      </c>
      <c r="H281" t="s">
        <v>74</v>
      </c>
      <c r="I281">
        <v>3</v>
      </c>
      <c r="J281" s="3">
        <v>1477.42</v>
      </c>
      <c r="K281" s="3">
        <v>4432.26</v>
      </c>
      <c r="L281" s="3">
        <v>3344.85</v>
      </c>
      <c r="M281" s="3">
        <v>1087.4100000000001</v>
      </c>
      <c r="N281" t="s">
        <v>44</v>
      </c>
    </row>
    <row r="282" spans="1:14" x14ac:dyDescent="0.3">
      <c r="A282" t="s">
        <v>385</v>
      </c>
      <c r="B282" s="2">
        <v>45490</v>
      </c>
      <c r="C282" t="s">
        <v>144</v>
      </c>
      <c r="D282" t="s">
        <v>24</v>
      </c>
      <c r="E282" t="s">
        <v>32</v>
      </c>
      <c r="F282" t="s">
        <v>33</v>
      </c>
      <c r="G282" t="s">
        <v>19</v>
      </c>
      <c r="H282" t="s">
        <v>77</v>
      </c>
      <c r="I282">
        <v>2</v>
      </c>
      <c r="J282" s="3">
        <v>1196.8</v>
      </c>
      <c r="K282" s="3">
        <v>2393.6</v>
      </c>
      <c r="L282" s="3">
        <v>1884.9</v>
      </c>
      <c r="M282" s="3">
        <v>508.7</v>
      </c>
      <c r="N282" t="s">
        <v>44</v>
      </c>
    </row>
    <row r="283" spans="1:14" x14ac:dyDescent="0.3">
      <c r="A283" t="s">
        <v>386</v>
      </c>
      <c r="B283" s="2">
        <v>45377</v>
      </c>
      <c r="C283" t="s">
        <v>79</v>
      </c>
      <c r="D283" t="s">
        <v>24</v>
      </c>
      <c r="E283" t="s">
        <v>57</v>
      </c>
      <c r="F283" t="s">
        <v>58</v>
      </c>
      <c r="G283" t="s">
        <v>27</v>
      </c>
      <c r="H283" t="s">
        <v>59</v>
      </c>
      <c r="I283">
        <v>4</v>
      </c>
      <c r="J283" s="3">
        <v>2559.6999999999998</v>
      </c>
      <c r="K283" s="3">
        <v>10238.799999999999</v>
      </c>
      <c r="L283" s="3">
        <v>8734.77</v>
      </c>
      <c r="M283" s="3">
        <v>1504.03</v>
      </c>
      <c r="N283" t="s">
        <v>54</v>
      </c>
    </row>
    <row r="284" spans="1:14" x14ac:dyDescent="0.3">
      <c r="A284" t="s">
        <v>387</v>
      </c>
      <c r="B284" s="2">
        <v>45361</v>
      </c>
      <c r="C284" t="s">
        <v>31</v>
      </c>
      <c r="D284" t="s">
        <v>39</v>
      </c>
      <c r="E284" t="s">
        <v>70</v>
      </c>
      <c r="F284" t="s">
        <v>71</v>
      </c>
      <c r="G284" t="s">
        <v>42</v>
      </c>
      <c r="H284" t="s">
        <v>111</v>
      </c>
      <c r="I284">
        <v>6</v>
      </c>
      <c r="J284" s="3">
        <v>1598.39</v>
      </c>
      <c r="K284" s="3">
        <v>9590.34</v>
      </c>
      <c r="L284" s="3">
        <v>7834.73</v>
      </c>
      <c r="M284" s="3">
        <v>1755.61</v>
      </c>
      <c r="N284" t="s">
        <v>29</v>
      </c>
    </row>
    <row r="285" spans="1:14" x14ac:dyDescent="0.3">
      <c r="A285" t="s">
        <v>388</v>
      </c>
      <c r="B285" s="2">
        <v>45519</v>
      </c>
      <c r="C285" t="s">
        <v>15</v>
      </c>
      <c r="D285" t="s">
        <v>24</v>
      </c>
      <c r="E285" t="s">
        <v>32</v>
      </c>
      <c r="F285" t="s">
        <v>33</v>
      </c>
      <c r="G285" t="s">
        <v>27</v>
      </c>
      <c r="H285" t="s">
        <v>68</v>
      </c>
      <c r="I285">
        <v>2</v>
      </c>
      <c r="J285" s="3">
        <v>17251.52</v>
      </c>
      <c r="K285" s="3">
        <v>34503.040000000001</v>
      </c>
      <c r="L285" s="3">
        <v>25358.720000000001</v>
      </c>
      <c r="M285" s="3">
        <v>9144.32</v>
      </c>
      <c r="N285" t="s">
        <v>36</v>
      </c>
    </row>
    <row r="286" spans="1:14" x14ac:dyDescent="0.3">
      <c r="A286" t="s">
        <v>389</v>
      </c>
      <c r="B286" s="2">
        <v>45378</v>
      </c>
      <c r="C286" t="s">
        <v>38</v>
      </c>
      <c r="D286" t="s">
        <v>24</v>
      </c>
      <c r="E286" t="s">
        <v>47</v>
      </c>
      <c r="F286" t="s">
        <v>73</v>
      </c>
      <c r="G286" t="s">
        <v>34</v>
      </c>
      <c r="H286" t="s">
        <v>87</v>
      </c>
      <c r="I286">
        <v>5</v>
      </c>
      <c r="J286" s="3">
        <v>645.99</v>
      </c>
      <c r="K286" s="3">
        <v>3229.95</v>
      </c>
      <c r="L286" s="3">
        <v>2697.08</v>
      </c>
      <c r="M286" s="3">
        <v>532.87</v>
      </c>
      <c r="N286" t="s">
        <v>44</v>
      </c>
    </row>
    <row r="287" spans="1:14" x14ac:dyDescent="0.3">
      <c r="A287" t="s">
        <v>390</v>
      </c>
      <c r="B287" s="2">
        <v>45313</v>
      </c>
      <c r="C287" t="s">
        <v>86</v>
      </c>
      <c r="D287" t="s">
        <v>24</v>
      </c>
      <c r="E287" t="s">
        <v>32</v>
      </c>
      <c r="F287" t="s">
        <v>33</v>
      </c>
      <c r="G287" t="s">
        <v>42</v>
      </c>
      <c r="H287" t="s">
        <v>120</v>
      </c>
      <c r="I287">
        <v>6</v>
      </c>
      <c r="J287" s="3">
        <v>2345.23</v>
      </c>
      <c r="K287" s="3">
        <v>14071.38</v>
      </c>
      <c r="L287" s="3">
        <v>11683.03</v>
      </c>
      <c r="M287" s="3">
        <v>2388.35</v>
      </c>
      <c r="N287" t="s">
        <v>21</v>
      </c>
    </row>
    <row r="288" spans="1:14" x14ac:dyDescent="0.3">
      <c r="A288" t="s">
        <v>391</v>
      </c>
      <c r="B288" s="2">
        <v>45522</v>
      </c>
      <c r="C288" t="s">
        <v>134</v>
      </c>
      <c r="D288" t="s">
        <v>65</v>
      </c>
      <c r="E288" t="s">
        <v>113</v>
      </c>
      <c r="F288" t="s">
        <v>114</v>
      </c>
      <c r="G288" t="s">
        <v>82</v>
      </c>
      <c r="H288" t="s">
        <v>126</v>
      </c>
      <c r="I288">
        <v>4</v>
      </c>
      <c r="J288" s="3">
        <v>482.88</v>
      </c>
      <c r="K288" s="3">
        <v>1931.52</v>
      </c>
      <c r="L288" s="3">
        <v>1358.78</v>
      </c>
      <c r="M288" s="3">
        <v>572.74</v>
      </c>
      <c r="N288" t="s">
        <v>62</v>
      </c>
    </row>
    <row r="289" spans="1:14" x14ac:dyDescent="0.3">
      <c r="A289" t="s">
        <v>392</v>
      </c>
      <c r="B289" s="2">
        <v>45593</v>
      </c>
      <c r="C289" t="s">
        <v>64</v>
      </c>
      <c r="D289" t="s">
        <v>65</v>
      </c>
      <c r="E289" t="s">
        <v>131</v>
      </c>
      <c r="F289" t="s">
        <v>132</v>
      </c>
      <c r="G289" t="s">
        <v>27</v>
      </c>
      <c r="H289" t="s">
        <v>28</v>
      </c>
      <c r="I289">
        <v>2</v>
      </c>
      <c r="J289" s="3">
        <v>58448.83</v>
      </c>
      <c r="K289" s="3">
        <v>116897.66</v>
      </c>
      <c r="L289" s="3">
        <v>98321.23</v>
      </c>
      <c r="M289" s="3">
        <v>18576.43</v>
      </c>
      <c r="N289" t="s">
        <v>36</v>
      </c>
    </row>
    <row r="290" spans="1:14" x14ac:dyDescent="0.3">
      <c r="A290" t="s">
        <v>393</v>
      </c>
      <c r="B290" s="2">
        <v>45564</v>
      </c>
      <c r="C290" t="s">
        <v>139</v>
      </c>
      <c r="D290" t="s">
        <v>65</v>
      </c>
      <c r="E290" t="s">
        <v>123</v>
      </c>
      <c r="F290" t="s">
        <v>124</v>
      </c>
      <c r="G290" t="s">
        <v>34</v>
      </c>
      <c r="H290" t="s">
        <v>35</v>
      </c>
      <c r="I290">
        <v>3</v>
      </c>
      <c r="J290" s="3">
        <v>2536.37</v>
      </c>
      <c r="K290" s="3">
        <v>7609.11</v>
      </c>
      <c r="L290" s="3">
        <v>6623.57</v>
      </c>
      <c r="M290" s="3">
        <v>985.54</v>
      </c>
      <c r="N290" t="s">
        <v>29</v>
      </c>
    </row>
    <row r="291" spans="1:14" x14ac:dyDescent="0.3">
      <c r="A291" t="s">
        <v>394</v>
      </c>
      <c r="B291" s="2">
        <v>45340</v>
      </c>
      <c r="C291" t="s">
        <v>134</v>
      </c>
      <c r="D291" t="s">
        <v>39</v>
      </c>
      <c r="E291" t="s">
        <v>70</v>
      </c>
      <c r="F291" t="s">
        <v>71</v>
      </c>
      <c r="G291" t="s">
        <v>42</v>
      </c>
      <c r="H291" t="s">
        <v>43</v>
      </c>
      <c r="I291">
        <v>6</v>
      </c>
      <c r="J291" s="3">
        <v>2591.06</v>
      </c>
      <c r="K291" s="3">
        <v>15546.36</v>
      </c>
      <c r="L291" s="3">
        <v>13264.4</v>
      </c>
      <c r="M291" s="3">
        <v>2281.96</v>
      </c>
      <c r="N291" t="s">
        <v>62</v>
      </c>
    </row>
    <row r="292" spans="1:14" x14ac:dyDescent="0.3">
      <c r="A292" t="s">
        <v>395</v>
      </c>
      <c r="B292" s="2">
        <v>45656</v>
      </c>
      <c r="C292" t="s">
        <v>31</v>
      </c>
      <c r="D292" t="s">
        <v>65</v>
      </c>
      <c r="E292" t="s">
        <v>123</v>
      </c>
      <c r="F292" t="s">
        <v>124</v>
      </c>
      <c r="G292" t="s">
        <v>82</v>
      </c>
      <c r="H292" t="s">
        <v>135</v>
      </c>
      <c r="I292">
        <v>4</v>
      </c>
      <c r="J292" s="3">
        <v>510.64</v>
      </c>
      <c r="K292" s="3">
        <v>2042.56</v>
      </c>
      <c r="L292" s="3">
        <v>1647.28</v>
      </c>
      <c r="M292" s="3">
        <v>395.28</v>
      </c>
      <c r="N292" t="s">
        <v>54</v>
      </c>
    </row>
    <row r="293" spans="1:14" x14ac:dyDescent="0.3">
      <c r="A293" t="s">
        <v>396</v>
      </c>
      <c r="B293" s="2">
        <v>45523</v>
      </c>
      <c r="C293" t="s">
        <v>122</v>
      </c>
      <c r="D293" t="s">
        <v>16</v>
      </c>
      <c r="E293" t="s">
        <v>17</v>
      </c>
      <c r="F293" t="s">
        <v>18</v>
      </c>
      <c r="G293" t="s">
        <v>34</v>
      </c>
      <c r="H293" t="s">
        <v>35</v>
      </c>
      <c r="I293">
        <v>6</v>
      </c>
      <c r="J293" s="3">
        <v>2718.17</v>
      </c>
      <c r="K293" s="3">
        <v>16309.02</v>
      </c>
      <c r="L293" s="3">
        <v>12293.97</v>
      </c>
      <c r="M293" s="3">
        <v>4015.05</v>
      </c>
      <c r="N293" t="s">
        <v>36</v>
      </c>
    </row>
    <row r="294" spans="1:14" x14ac:dyDescent="0.3">
      <c r="A294" t="s">
        <v>397</v>
      </c>
      <c r="B294" s="2">
        <v>45589</v>
      </c>
      <c r="C294" t="s">
        <v>56</v>
      </c>
      <c r="D294" t="s">
        <v>16</v>
      </c>
      <c r="E294" t="s">
        <v>17</v>
      </c>
      <c r="F294" t="s">
        <v>18</v>
      </c>
      <c r="G294" t="s">
        <v>19</v>
      </c>
      <c r="H294" t="s">
        <v>77</v>
      </c>
      <c r="I294">
        <v>6</v>
      </c>
      <c r="J294" s="3">
        <v>1239.3900000000001</v>
      </c>
      <c r="K294" s="3">
        <v>7436.34</v>
      </c>
      <c r="L294" s="3">
        <v>5589.48</v>
      </c>
      <c r="M294" s="3">
        <v>1846.86</v>
      </c>
      <c r="N294" t="s">
        <v>44</v>
      </c>
    </row>
    <row r="295" spans="1:14" x14ac:dyDescent="0.3">
      <c r="A295" t="s">
        <v>398</v>
      </c>
      <c r="B295" s="2">
        <v>45495</v>
      </c>
      <c r="C295" t="s">
        <v>15</v>
      </c>
      <c r="D295" t="s">
        <v>39</v>
      </c>
      <c r="E295" t="s">
        <v>70</v>
      </c>
      <c r="F295" t="s">
        <v>71</v>
      </c>
      <c r="G295" t="s">
        <v>82</v>
      </c>
      <c r="H295" t="s">
        <v>135</v>
      </c>
      <c r="I295">
        <v>3</v>
      </c>
      <c r="J295" s="3">
        <v>530.52</v>
      </c>
      <c r="K295" s="3">
        <v>1591.56</v>
      </c>
      <c r="L295" s="3">
        <v>1172.53</v>
      </c>
      <c r="M295" s="3">
        <v>419.03</v>
      </c>
      <c r="N295" t="s">
        <v>44</v>
      </c>
    </row>
    <row r="296" spans="1:14" x14ac:dyDescent="0.3">
      <c r="A296" t="s">
        <v>399</v>
      </c>
      <c r="B296" s="2">
        <v>45358</v>
      </c>
      <c r="C296" t="s">
        <v>102</v>
      </c>
      <c r="D296" t="s">
        <v>24</v>
      </c>
      <c r="E296" t="s">
        <v>57</v>
      </c>
      <c r="F296" t="s">
        <v>58</v>
      </c>
      <c r="G296" t="s">
        <v>82</v>
      </c>
      <c r="H296" t="s">
        <v>126</v>
      </c>
      <c r="I296">
        <v>1</v>
      </c>
      <c r="J296" s="3">
        <v>413.96</v>
      </c>
      <c r="K296" s="3">
        <v>413.96</v>
      </c>
      <c r="L296" s="3">
        <v>346.39</v>
      </c>
      <c r="M296" s="3">
        <v>67.569999999999993</v>
      </c>
      <c r="N296" t="s">
        <v>21</v>
      </c>
    </row>
    <row r="297" spans="1:14" x14ac:dyDescent="0.3">
      <c r="A297" t="s">
        <v>400</v>
      </c>
      <c r="B297" s="2">
        <v>45355</v>
      </c>
      <c r="C297" t="s">
        <v>86</v>
      </c>
      <c r="D297" t="s">
        <v>39</v>
      </c>
      <c r="E297" t="s">
        <v>70</v>
      </c>
      <c r="F297" t="s">
        <v>71</v>
      </c>
      <c r="G297" t="s">
        <v>34</v>
      </c>
      <c r="H297" t="s">
        <v>49</v>
      </c>
      <c r="I297">
        <v>2</v>
      </c>
      <c r="J297" s="3">
        <v>3517.24</v>
      </c>
      <c r="K297" s="3">
        <v>7034.48</v>
      </c>
      <c r="L297" s="3">
        <v>6062.89</v>
      </c>
      <c r="M297" s="3">
        <v>971.59</v>
      </c>
      <c r="N297" t="s">
        <v>62</v>
      </c>
    </row>
    <row r="298" spans="1:14" x14ac:dyDescent="0.3">
      <c r="A298" t="s">
        <v>401</v>
      </c>
      <c r="B298" s="2">
        <v>45432</v>
      </c>
      <c r="C298" t="s">
        <v>105</v>
      </c>
      <c r="D298" t="s">
        <v>16</v>
      </c>
      <c r="E298" t="s">
        <v>80</v>
      </c>
      <c r="F298" t="s">
        <v>81</v>
      </c>
      <c r="G298" t="s">
        <v>27</v>
      </c>
      <c r="H298" t="s">
        <v>59</v>
      </c>
      <c r="I298">
        <v>6</v>
      </c>
      <c r="J298" s="3">
        <v>2701.9</v>
      </c>
      <c r="K298" s="3">
        <v>16211.4</v>
      </c>
      <c r="L298" s="3">
        <v>11560.43</v>
      </c>
      <c r="M298" s="3">
        <v>4650.97</v>
      </c>
      <c r="N298" t="s">
        <v>29</v>
      </c>
    </row>
    <row r="299" spans="1:14" x14ac:dyDescent="0.3">
      <c r="A299" t="s">
        <v>402</v>
      </c>
      <c r="B299" s="2">
        <v>45448</v>
      </c>
      <c r="C299" t="s">
        <v>64</v>
      </c>
      <c r="D299" t="s">
        <v>39</v>
      </c>
      <c r="E299" t="s">
        <v>70</v>
      </c>
      <c r="F299" t="s">
        <v>71</v>
      </c>
      <c r="G299" t="s">
        <v>19</v>
      </c>
      <c r="H299" t="s">
        <v>147</v>
      </c>
      <c r="I299">
        <v>1</v>
      </c>
      <c r="J299" s="3">
        <v>2639.52</v>
      </c>
      <c r="K299" s="3">
        <v>2639.52</v>
      </c>
      <c r="L299" s="3">
        <v>1836.02</v>
      </c>
      <c r="M299" s="3">
        <v>803.5</v>
      </c>
      <c r="N299" t="s">
        <v>62</v>
      </c>
    </row>
    <row r="300" spans="1:14" x14ac:dyDescent="0.3">
      <c r="A300" t="s">
        <v>403</v>
      </c>
      <c r="B300" s="2">
        <v>45557</v>
      </c>
      <c r="C300" t="s">
        <v>89</v>
      </c>
      <c r="D300" t="s">
        <v>24</v>
      </c>
      <c r="E300" t="s">
        <v>25</v>
      </c>
      <c r="F300" t="s">
        <v>26</v>
      </c>
      <c r="G300" t="s">
        <v>27</v>
      </c>
      <c r="H300" t="s">
        <v>59</v>
      </c>
      <c r="I300">
        <v>1</v>
      </c>
      <c r="J300" s="3">
        <v>2744.08</v>
      </c>
      <c r="K300" s="3">
        <v>2744.08</v>
      </c>
      <c r="L300" s="3">
        <v>2097.75</v>
      </c>
      <c r="M300" s="3">
        <v>646.33000000000004</v>
      </c>
      <c r="N300" t="s">
        <v>54</v>
      </c>
    </row>
    <row r="301" spans="1:14" x14ac:dyDescent="0.3">
      <c r="A301" t="s">
        <v>404</v>
      </c>
      <c r="B301" s="2">
        <v>45328</v>
      </c>
      <c r="C301" t="s">
        <v>89</v>
      </c>
      <c r="D301" t="s">
        <v>39</v>
      </c>
      <c r="E301" t="s">
        <v>70</v>
      </c>
      <c r="F301" t="s">
        <v>71</v>
      </c>
      <c r="G301" t="s">
        <v>27</v>
      </c>
      <c r="H301" t="s">
        <v>68</v>
      </c>
      <c r="I301">
        <v>1</v>
      </c>
      <c r="J301" s="3">
        <v>17328.07</v>
      </c>
      <c r="K301" s="3">
        <v>17328.07</v>
      </c>
      <c r="L301" s="3">
        <v>14836.26</v>
      </c>
      <c r="M301" s="3">
        <v>2491.81</v>
      </c>
      <c r="N301" t="s">
        <v>54</v>
      </c>
    </row>
    <row r="302" spans="1:14" x14ac:dyDescent="0.3">
      <c r="A302" t="s">
        <v>405</v>
      </c>
      <c r="B302" s="2">
        <v>45360</v>
      </c>
      <c r="C302" t="s">
        <v>23</v>
      </c>
      <c r="D302" t="s">
        <v>39</v>
      </c>
      <c r="E302" t="s">
        <v>52</v>
      </c>
      <c r="F302" t="s">
        <v>53</v>
      </c>
      <c r="G302" t="s">
        <v>34</v>
      </c>
      <c r="H302" t="s">
        <v>87</v>
      </c>
      <c r="I302">
        <v>5</v>
      </c>
      <c r="J302" s="3">
        <v>721</v>
      </c>
      <c r="K302" s="3">
        <v>3605</v>
      </c>
      <c r="L302" s="3">
        <v>2768.71</v>
      </c>
      <c r="M302" s="3">
        <v>836.29</v>
      </c>
      <c r="N302" t="s">
        <v>29</v>
      </c>
    </row>
    <row r="303" spans="1:14" x14ac:dyDescent="0.3">
      <c r="A303" t="s">
        <v>406</v>
      </c>
      <c r="B303" s="2">
        <v>45369</v>
      </c>
      <c r="C303" t="s">
        <v>105</v>
      </c>
      <c r="D303" t="s">
        <v>24</v>
      </c>
      <c r="E303" t="s">
        <v>47</v>
      </c>
      <c r="F303" t="s">
        <v>73</v>
      </c>
      <c r="G303" t="s">
        <v>82</v>
      </c>
      <c r="H303" t="s">
        <v>126</v>
      </c>
      <c r="I303">
        <v>1</v>
      </c>
      <c r="J303" s="3">
        <v>417.6</v>
      </c>
      <c r="K303" s="3">
        <v>417.6</v>
      </c>
      <c r="L303" s="3">
        <v>294.25</v>
      </c>
      <c r="M303" s="3">
        <v>123.35</v>
      </c>
      <c r="N303" t="s">
        <v>36</v>
      </c>
    </row>
    <row r="304" spans="1:14" x14ac:dyDescent="0.3">
      <c r="A304" t="s">
        <v>407</v>
      </c>
      <c r="B304" s="2">
        <v>45511</v>
      </c>
      <c r="C304" t="s">
        <v>46</v>
      </c>
      <c r="D304" t="s">
        <v>65</v>
      </c>
      <c r="E304" t="s">
        <v>123</v>
      </c>
      <c r="F304" t="s">
        <v>124</v>
      </c>
      <c r="G304" t="s">
        <v>27</v>
      </c>
      <c r="H304" t="s">
        <v>68</v>
      </c>
      <c r="I304">
        <v>2</v>
      </c>
      <c r="J304" s="3">
        <v>18192.23</v>
      </c>
      <c r="K304" s="3">
        <v>36384.46</v>
      </c>
      <c r="L304" s="3">
        <v>29107.63</v>
      </c>
      <c r="M304" s="3">
        <v>7276.83</v>
      </c>
      <c r="N304" t="s">
        <v>36</v>
      </c>
    </row>
    <row r="305" spans="1:14" x14ac:dyDescent="0.3">
      <c r="A305" t="s">
        <v>408</v>
      </c>
      <c r="B305" s="2">
        <v>45645</v>
      </c>
      <c r="C305" t="s">
        <v>269</v>
      </c>
      <c r="D305" t="s">
        <v>16</v>
      </c>
      <c r="E305" t="s">
        <v>80</v>
      </c>
      <c r="F305" t="s">
        <v>81</v>
      </c>
      <c r="G305" t="s">
        <v>27</v>
      </c>
      <c r="H305" t="s">
        <v>91</v>
      </c>
      <c r="I305">
        <v>5</v>
      </c>
      <c r="J305" s="3">
        <v>2813.19</v>
      </c>
      <c r="K305" s="3">
        <v>14065.95</v>
      </c>
      <c r="L305" s="3">
        <v>10666.92</v>
      </c>
      <c r="M305" s="3">
        <v>3399.03</v>
      </c>
      <c r="N305" t="s">
        <v>62</v>
      </c>
    </row>
    <row r="306" spans="1:14" x14ac:dyDescent="0.3">
      <c r="A306" t="s">
        <v>409</v>
      </c>
      <c r="B306" s="2">
        <v>45545</v>
      </c>
      <c r="C306" t="s">
        <v>38</v>
      </c>
      <c r="D306" t="s">
        <v>24</v>
      </c>
      <c r="E306" t="s">
        <v>25</v>
      </c>
      <c r="F306" t="s">
        <v>26</v>
      </c>
      <c r="G306" t="s">
        <v>27</v>
      </c>
      <c r="H306" t="s">
        <v>91</v>
      </c>
      <c r="I306">
        <v>1</v>
      </c>
      <c r="J306" s="3">
        <v>3016.97</v>
      </c>
      <c r="K306" s="3">
        <v>3016.97</v>
      </c>
      <c r="L306" s="3">
        <v>2641.48</v>
      </c>
      <c r="M306" s="3">
        <v>375.49</v>
      </c>
      <c r="N306" t="s">
        <v>36</v>
      </c>
    </row>
    <row r="307" spans="1:14" x14ac:dyDescent="0.3">
      <c r="A307" t="s">
        <v>410</v>
      </c>
      <c r="B307" s="2">
        <v>45359</v>
      </c>
      <c r="C307" t="s">
        <v>79</v>
      </c>
      <c r="D307" t="s">
        <v>24</v>
      </c>
      <c r="E307" t="s">
        <v>47</v>
      </c>
      <c r="F307" t="s">
        <v>73</v>
      </c>
      <c r="G307" t="s">
        <v>34</v>
      </c>
      <c r="H307" t="s">
        <v>74</v>
      </c>
      <c r="I307">
        <v>4</v>
      </c>
      <c r="J307" s="3">
        <v>1745.42</v>
      </c>
      <c r="K307" s="3">
        <v>6981.68</v>
      </c>
      <c r="L307" s="3">
        <v>5823.23</v>
      </c>
      <c r="M307" s="3">
        <v>1158.45</v>
      </c>
      <c r="N307" t="s">
        <v>44</v>
      </c>
    </row>
    <row r="308" spans="1:14" x14ac:dyDescent="0.3">
      <c r="A308" t="s">
        <v>411</v>
      </c>
      <c r="B308" s="2">
        <v>45326</v>
      </c>
      <c r="C308" t="s">
        <v>139</v>
      </c>
      <c r="D308" t="s">
        <v>16</v>
      </c>
      <c r="E308" t="s">
        <v>80</v>
      </c>
      <c r="F308" t="s">
        <v>81</v>
      </c>
      <c r="G308" t="s">
        <v>27</v>
      </c>
      <c r="H308" t="s">
        <v>68</v>
      </c>
      <c r="I308">
        <v>4</v>
      </c>
      <c r="J308" s="3">
        <v>18023.8</v>
      </c>
      <c r="K308" s="3">
        <v>72095.199999999997</v>
      </c>
      <c r="L308" s="3">
        <v>58088.12</v>
      </c>
      <c r="M308" s="3">
        <v>14007.08</v>
      </c>
      <c r="N308" t="s">
        <v>54</v>
      </c>
    </row>
    <row r="309" spans="1:14" x14ac:dyDescent="0.3">
      <c r="A309" t="s">
        <v>412</v>
      </c>
      <c r="B309" s="2">
        <v>45508</v>
      </c>
      <c r="C309" t="s">
        <v>56</v>
      </c>
      <c r="D309" t="s">
        <v>24</v>
      </c>
      <c r="E309" t="s">
        <v>25</v>
      </c>
      <c r="F309" t="s">
        <v>26</v>
      </c>
      <c r="G309" t="s">
        <v>19</v>
      </c>
      <c r="H309" t="s">
        <v>151</v>
      </c>
      <c r="I309">
        <v>5</v>
      </c>
      <c r="J309" s="3">
        <v>558.32000000000005</v>
      </c>
      <c r="K309" s="3">
        <v>2791.6</v>
      </c>
      <c r="L309" s="3">
        <v>1944.96</v>
      </c>
      <c r="M309" s="3">
        <v>846.64</v>
      </c>
      <c r="N309" t="s">
        <v>44</v>
      </c>
    </row>
    <row r="310" spans="1:14" x14ac:dyDescent="0.3">
      <c r="A310" t="s">
        <v>413</v>
      </c>
      <c r="B310" s="2">
        <v>45396</v>
      </c>
      <c r="C310" t="s">
        <v>134</v>
      </c>
      <c r="D310" t="s">
        <v>39</v>
      </c>
      <c r="E310" t="s">
        <v>97</v>
      </c>
      <c r="F310" t="s">
        <v>98</v>
      </c>
      <c r="G310" t="s">
        <v>34</v>
      </c>
      <c r="H310" t="s">
        <v>87</v>
      </c>
      <c r="I310">
        <v>3</v>
      </c>
      <c r="J310" s="3">
        <v>727.81</v>
      </c>
      <c r="K310" s="3">
        <v>2183.4299999999998</v>
      </c>
      <c r="L310" s="3">
        <v>1803.5</v>
      </c>
      <c r="M310" s="3">
        <v>379.93</v>
      </c>
      <c r="N310" t="s">
        <v>21</v>
      </c>
    </row>
    <row r="311" spans="1:14" x14ac:dyDescent="0.3">
      <c r="A311" t="s">
        <v>414</v>
      </c>
      <c r="B311" s="2">
        <v>45417</v>
      </c>
      <c r="C311" t="s">
        <v>144</v>
      </c>
      <c r="D311" t="s">
        <v>16</v>
      </c>
      <c r="E311" t="s">
        <v>47</v>
      </c>
      <c r="F311" t="s">
        <v>48</v>
      </c>
      <c r="G311" t="s">
        <v>27</v>
      </c>
      <c r="H311" t="s">
        <v>91</v>
      </c>
      <c r="I311">
        <v>5</v>
      </c>
      <c r="J311" s="3">
        <v>2733.02</v>
      </c>
      <c r="K311" s="3">
        <v>13665.1</v>
      </c>
      <c r="L311" s="3">
        <v>11112.68</v>
      </c>
      <c r="M311" s="3">
        <v>2552.42</v>
      </c>
      <c r="N311" t="s">
        <v>21</v>
      </c>
    </row>
    <row r="312" spans="1:14" x14ac:dyDescent="0.3">
      <c r="A312" t="s">
        <v>415</v>
      </c>
      <c r="B312" s="2">
        <v>45298</v>
      </c>
      <c r="C312" t="s">
        <v>76</v>
      </c>
      <c r="D312" t="s">
        <v>39</v>
      </c>
      <c r="E312" t="s">
        <v>52</v>
      </c>
      <c r="F312" t="s">
        <v>53</v>
      </c>
      <c r="G312" t="s">
        <v>27</v>
      </c>
      <c r="H312" t="s">
        <v>59</v>
      </c>
      <c r="I312">
        <v>5</v>
      </c>
      <c r="J312" s="3">
        <v>2508.61</v>
      </c>
      <c r="K312" s="3">
        <v>12543.05</v>
      </c>
      <c r="L312" s="3">
        <v>10592.62</v>
      </c>
      <c r="M312" s="3">
        <v>1950.43</v>
      </c>
      <c r="N312" t="s">
        <v>62</v>
      </c>
    </row>
    <row r="313" spans="1:14" x14ac:dyDescent="0.3">
      <c r="A313" t="s">
        <v>416</v>
      </c>
      <c r="B313" s="2">
        <v>45482</v>
      </c>
      <c r="C313" t="s">
        <v>139</v>
      </c>
      <c r="D313" t="s">
        <v>39</v>
      </c>
      <c r="E313" t="s">
        <v>97</v>
      </c>
      <c r="F313" t="s">
        <v>98</v>
      </c>
      <c r="G313" t="s">
        <v>19</v>
      </c>
      <c r="H313" t="s">
        <v>147</v>
      </c>
      <c r="I313">
        <v>1</v>
      </c>
      <c r="J313" s="3">
        <v>2707.61</v>
      </c>
      <c r="K313" s="3">
        <v>2707.61</v>
      </c>
      <c r="L313" s="3">
        <v>2073.66</v>
      </c>
      <c r="M313" s="3">
        <v>633.95000000000005</v>
      </c>
      <c r="N313" t="s">
        <v>21</v>
      </c>
    </row>
    <row r="314" spans="1:14" x14ac:dyDescent="0.3">
      <c r="A314" t="s">
        <v>417</v>
      </c>
      <c r="B314" s="2">
        <v>45426</v>
      </c>
      <c r="C314" t="s">
        <v>38</v>
      </c>
      <c r="D314" t="s">
        <v>16</v>
      </c>
      <c r="E314" t="s">
        <v>47</v>
      </c>
      <c r="F314" t="s">
        <v>48</v>
      </c>
      <c r="G314" t="s">
        <v>34</v>
      </c>
      <c r="H314" t="s">
        <v>35</v>
      </c>
      <c r="I314">
        <v>1</v>
      </c>
      <c r="J314" s="3">
        <v>2499.81</v>
      </c>
      <c r="K314" s="3">
        <v>2499.81</v>
      </c>
      <c r="L314" s="3">
        <v>1983.29</v>
      </c>
      <c r="M314" s="3">
        <v>516.52</v>
      </c>
      <c r="N314" t="s">
        <v>62</v>
      </c>
    </row>
    <row r="315" spans="1:14" x14ac:dyDescent="0.3">
      <c r="A315" t="s">
        <v>418</v>
      </c>
      <c r="B315" s="2">
        <v>45422</v>
      </c>
      <c r="C315" t="s">
        <v>134</v>
      </c>
      <c r="D315" t="s">
        <v>16</v>
      </c>
      <c r="E315" t="s">
        <v>17</v>
      </c>
      <c r="F315" t="s">
        <v>18</v>
      </c>
      <c r="G315" t="s">
        <v>27</v>
      </c>
      <c r="H315" t="s">
        <v>91</v>
      </c>
      <c r="I315">
        <v>1</v>
      </c>
      <c r="J315" s="3">
        <v>2726.42</v>
      </c>
      <c r="K315" s="3">
        <v>2726.42</v>
      </c>
      <c r="L315" s="3">
        <v>2324.5100000000002</v>
      </c>
      <c r="M315" s="3">
        <v>401.91</v>
      </c>
      <c r="N315" t="s">
        <v>21</v>
      </c>
    </row>
    <row r="316" spans="1:14" x14ac:dyDescent="0.3">
      <c r="A316" t="s">
        <v>419</v>
      </c>
      <c r="B316" s="2">
        <v>45533</v>
      </c>
      <c r="C316" t="s">
        <v>31</v>
      </c>
      <c r="D316" t="s">
        <v>65</v>
      </c>
      <c r="E316" t="s">
        <v>131</v>
      </c>
      <c r="F316" t="s">
        <v>132</v>
      </c>
      <c r="G316" t="s">
        <v>42</v>
      </c>
      <c r="H316" t="s">
        <v>106</v>
      </c>
      <c r="I316">
        <v>1</v>
      </c>
      <c r="J316" s="3">
        <v>909.52</v>
      </c>
      <c r="K316" s="3">
        <v>909.52</v>
      </c>
      <c r="L316" s="3">
        <v>784.72</v>
      </c>
      <c r="M316" s="3">
        <v>124.8</v>
      </c>
      <c r="N316" t="s">
        <v>62</v>
      </c>
    </row>
    <row r="317" spans="1:14" x14ac:dyDescent="0.3">
      <c r="A317" t="s">
        <v>420</v>
      </c>
      <c r="B317" s="2">
        <v>45456</v>
      </c>
      <c r="C317" t="s">
        <v>51</v>
      </c>
      <c r="D317" t="s">
        <v>39</v>
      </c>
      <c r="E317" t="s">
        <v>70</v>
      </c>
      <c r="F317" t="s">
        <v>71</v>
      </c>
      <c r="G317" t="s">
        <v>42</v>
      </c>
      <c r="H317" t="s">
        <v>43</v>
      </c>
      <c r="I317">
        <v>3</v>
      </c>
      <c r="J317" s="3">
        <v>2982.56</v>
      </c>
      <c r="K317" s="3">
        <v>8947.68</v>
      </c>
      <c r="L317" s="3">
        <v>7107.21</v>
      </c>
      <c r="M317" s="3">
        <v>1840.47</v>
      </c>
      <c r="N317" t="s">
        <v>44</v>
      </c>
    </row>
    <row r="318" spans="1:14" x14ac:dyDescent="0.3">
      <c r="A318" t="s">
        <v>421</v>
      </c>
      <c r="B318" s="2">
        <v>45636</v>
      </c>
      <c r="C318" t="s">
        <v>102</v>
      </c>
      <c r="D318" t="s">
        <v>16</v>
      </c>
      <c r="E318" t="s">
        <v>117</v>
      </c>
      <c r="F318" t="s">
        <v>118</v>
      </c>
      <c r="G318" t="s">
        <v>27</v>
      </c>
      <c r="H318" t="s">
        <v>91</v>
      </c>
      <c r="I318">
        <v>1</v>
      </c>
      <c r="J318" s="3">
        <v>3272.45</v>
      </c>
      <c r="K318" s="3">
        <v>3272.45</v>
      </c>
      <c r="L318" s="3">
        <v>2270.38</v>
      </c>
      <c r="M318" s="3">
        <v>1002.07</v>
      </c>
      <c r="N318" t="s">
        <v>36</v>
      </c>
    </row>
    <row r="319" spans="1:14" x14ac:dyDescent="0.3">
      <c r="A319" t="s">
        <v>422</v>
      </c>
      <c r="B319" s="2">
        <v>45451</v>
      </c>
      <c r="C319" t="s">
        <v>86</v>
      </c>
      <c r="D319" t="s">
        <v>65</v>
      </c>
      <c r="E319" t="s">
        <v>66</v>
      </c>
      <c r="F319" t="s">
        <v>67</v>
      </c>
      <c r="G319" t="s">
        <v>19</v>
      </c>
      <c r="H319" t="s">
        <v>147</v>
      </c>
      <c r="I319">
        <v>3</v>
      </c>
      <c r="J319" s="3">
        <v>2632.38</v>
      </c>
      <c r="K319" s="3">
        <v>7897.14</v>
      </c>
      <c r="L319" s="3">
        <v>6260.55</v>
      </c>
      <c r="M319" s="3">
        <v>1636.59</v>
      </c>
      <c r="N319" t="s">
        <v>29</v>
      </c>
    </row>
    <row r="320" spans="1:14" x14ac:dyDescent="0.3">
      <c r="A320" t="s">
        <v>423</v>
      </c>
      <c r="B320" s="2">
        <v>45610</v>
      </c>
      <c r="C320" t="s">
        <v>134</v>
      </c>
      <c r="D320" t="s">
        <v>39</v>
      </c>
      <c r="E320" t="s">
        <v>70</v>
      </c>
      <c r="F320" t="s">
        <v>71</v>
      </c>
      <c r="G320" t="s">
        <v>34</v>
      </c>
      <c r="H320" t="s">
        <v>49</v>
      </c>
      <c r="I320">
        <v>2</v>
      </c>
      <c r="J320" s="3">
        <v>3348.78</v>
      </c>
      <c r="K320" s="3">
        <v>6697.56</v>
      </c>
      <c r="L320" s="3">
        <v>5286.46</v>
      </c>
      <c r="M320" s="3">
        <v>1411.1</v>
      </c>
      <c r="N320" t="s">
        <v>62</v>
      </c>
    </row>
    <row r="321" spans="1:14" x14ac:dyDescent="0.3">
      <c r="A321" t="s">
        <v>424</v>
      </c>
      <c r="B321" s="2">
        <v>45295</v>
      </c>
      <c r="C321" t="s">
        <v>93</v>
      </c>
      <c r="D321" t="s">
        <v>24</v>
      </c>
      <c r="E321" t="s">
        <v>25</v>
      </c>
      <c r="F321" t="s">
        <v>26</v>
      </c>
      <c r="G321" t="s">
        <v>27</v>
      </c>
      <c r="H321" t="s">
        <v>59</v>
      </c>
      <c r="I321">
        <v>6</v>
      </c>
      <c r="J321" s="3">
        <v>2669.79</v>
      </c>
      <c r="K321" s="3">
        <v>16018.74</v>
      </c>
      <c r="L321" s="3">
        <v>13703.07</v>
      </c>
      <c r="M321" s="3">
        <v>2315.67</v>
      </c>
      <c r="N321" t="s">
        <v>21</v>
      </c>
    </row>
    <row r="322" spans="1:14" x14ac:dyDescent="0.3">
      <c r="A322" t="s">
        <v>425</v>
      </c>
      <c r="B322" s="2">
        <v>45628</v>
      </c>
      <c r="C322" t="s">
        <v>89</v>
      </c>
      <c r="D322" t="s">
        <v>24</v>
      </c>
      <c r="E322" t="s">
        <v>57</v>
      </c>
      <c r="F322" t="s">
        <v>58</v>
      </c>
      <c r="G322" t="s">
        <v>27</v>
      </c>
      <c r="H322" t="s">
        <v>91</v>
      </c>
      <c r="I322">
        <v>2</v>
      </c>
      <c r="J322" s="3">
        <v>2951.89</v>
      </c>
      <c r="K322" s="3">
        <v>5903.78</v>
      </c>
      <c r="L322" s="3">
        <v>5149.5</v>
      </c>
      <c r="M322" s="3">
        <v>754.28</v>
      </c>
      <c r="N322" t="s">
        <v>29</v>
      </c>
    </row>
    <row r="323" spans="1:14" x14ac:dyDescent="0.3">
      <c r="A323" t="s">
        <v>426</v>
      </c>
      <c r="B323" s="2">
        <v>45435</v>
      </c>
      <c r="C323" t="s">
        <v>56</v>
      </c>
      <c r="D323" t="s">
        <v>16</v>
      </c>
      <c r="E323" t="s">
        <v>17</v>
      </c>
      <c r="F323" t="s">
        <v>18</v>
      </c>
      <c r="G323" t="s">
        <v>42</v>
      </c>
      <c r="H323" t="s">
        <v>111</v>
      </c>
      <c r="I323">
        <v>4</v>
      </c>
      <c r="J323" s="3">
        <v>1664.27</v>
      </c>
      <c r="K323" s="3">
        <v>6657.08</v>
      </c>
      <c r="L323" s="3">
        <v>5022.76</v>
      </c>
      <c r="M323" s="3">
        <v>1634.32</v>
      </c>
      <c r="N323" t="s">
        <v>44</v>
      </c>
    </row>
    <row r="324" spans="1:14" x14ac:dyDescent="0.3">
      <c r="A324" t="s">
        <v>427</v>
      </c>
      <c r="B324" s="2">
        <v>45340</v>
      </c>
      <c r="C324" t="s">
        <v>134</v>
      </c>
      <c r="D324" t="s">
        <v>39</v>
      </c>
      <c r="E324" t="s">
        <v>70</v>
      </c>
      <c r="F324" t="s">
        <v>71</v>
      </c>
      <c r="G324" t="s">
        <v>27</v>
      </c>
      <c r="H324" t="s">
        <v>91</v>
      </c>
      <c r="I324">
        <v>1</v>
      </c>
      <c r="J324" s="3">
        <v>2960.99</v>
      </c>
      <c r="K324" s="3">
        <v>2960.99</v>
      </c>
      <c r="L324" s="3">
        <v>2584.48</v>
      </c>
      <c r="M324" s="3">
        <v>376.51</v>
      </c>
      <c r="N324" t="s">
        <v>36</v>
      </c>
    </row>
    <row r="325" spans="1:14" x14ac:dyDescent="0.3">
      <c r="A325" t="s">
        <v>428</v>
      </c>
      <c r="B325" s="2">
        <v>45425</v>
      </c>
      <c r="C325" t="s">
        <v>23</v>
      </c>
      <c r="D325" t="s">
        <v>65</v>
      </c>
      <c r="E325" t="s">
        <v>131</v>
      </c>
      <c r="F325" t="s">
        <v>132</v>
      </c>
      <c r="G325" t="s">
        <v>19</v>
      </c>
      <c r="H325" t="s">
        <v>171</v>
      </c>
      <c r="I325">
        <v>3</v>
      </c>
      <c r="J325" s="3">
        <v>4160.32</v>
      </c>
      <c r="K325" s="3">
        <v>12480.96</v>
      </c>
      <c r="L325" s="3">
        <v>9070.19</v>
      </c>
      <c r="M325" s="3">
        <v>3410.77</v>
      </c>
      <c r="N325" t="s">
        <v>62</v>
      </c>
    </row>
    <row r="326" spans="1:14" x14ac:dyDescent="0.3">
      <c r="A326" t="s">
        <v>429</v>
      </c>
      <c r="B326" s="2">
        <v>45591</v>
      </c>
      <c r="C326" t="s">
        <v>38</v>
      </c>
      <c r="D326" t="s">
        <v>16</v>
      </c>
      <c r="E326" t="s">
        <v>117</v>
      </c>
      <c r="F326" t="s">
        <v>118</v>
      </c>
      <c r="G326" t="s">
        <v>27</v>
      </c>
      <c r="H326" t="s">
        <v>61</v>
      </c>
      <c r="I326">
        <v>4</v>
      </c>
      <c r="J326" s="3">
        <v>4332.63</v>
      </c>
      <c r="K326" s="3">
        <v>17330.52</v>
      </c>
      <c r="L326" s="3">
        <v>12203.24</v>
      </c>
      <c r="M326" s="3">
        <v>5127.28</v>
      </c>
      <c r="N326" t="s">
        <v>62</v>
      </c>
    </row>
    <row r="327" spans="1:14" x14ac:dyDescent="0.3">
      <c r="A327" t="s">
        <v>430</v>
      </c>
      <c r="B327" s="2">
        <v>45523</v>
      </c>
      <c r="C327" t="s">
        <v>46</v>
      </c>
      <c r="D327" t="s">
        <v>65</v>
      </c>
      <c r="E327" t="s">
        <v>131</v>
      </c>
      <c r="F327" t="s">
        <v>132</v>
      </c>
      <c r="G327" t="s">
        <v>27</v>
      </c>
      <c r="H327" t="s">
        <v>68</v>
      </c>
      <c r="I327">
        <v>1</v>
      </c>
      <c r="J327" s="3">
        <v>16767.419999999998</v>
      </c>
      <c r="K327" s="3">
        <v>16767.419999999998</v>
      </c>
      <c r="L327" s="3">
        <v>13702.52</v>
      </c>
      <c r="M327" s="3">
        <v>3064.9</v>
      </c>
      <c r="N327" t="s">
        <v>21</v>
      </c>
    </row>
    <row r="328" spans="1:14" x14ac:dyDescent="0.3">
      <c r="A328" t="s">
        <v>431</v>
      </c>
      <c r="B328" s="2">
        <v>45402</v>
      </c>
      <c r="C328" t="s">
        <v>86</v>
      </c>
      <c r="D328" t="s">
        <v>65</v>
      </c>
      <c r="E328" t="s">
        <v>123</v>
      </c>
      <c r="F328" t="s">
        <v>124</v>
      </c>
      <c r="G328" t="s">
        <v>27</v>
      </c>
      <c r="H328" t="s">
        <v>28</v>
      </c>
      <c r="I328">
        <v>3</v>
      </c>
      <c r="J328" s="3">
        <v>53858.69</v>
      </c>
      <c r="K328" s="3">
        <v>161576.07</v>
      </c>
      <c r="L328" s="3">
        <v>111453.58</v>
      </c>
      <c r="M328" s="3">
        <v>50122.49</v>
      </c>
      <c r="N328" t="s">
        <v>36</v>
      </c>
    </row>
    <row r="329" spans="1:14" x14ac:dyDescent="0.3">
      <c r="A329" t="s">
        <v>432</v>
      </c>
      <c r="B329" s="2">
        <v>45381</v>
      </c>
      <c r="C329" t="s">
        <v>51</v>
      </c>
      <c r="D329" t="s">
        <v>16</v>
      </c>
      <c r="E329" t="s">
        <v>47</v>
      </c>
      <c r="F329" t="s">
        <v>48</v>
      </c>
      <c r="G329" t="s">
        <v>82</v>
      </c>
      <c r="H329" t="s">
        <v>200</v>
      </c>
      <c r="I329">
        <v>6</v>
      </c>
      <c r="J329" s="3">
        <v>1818.04</v>
      </c>
      <c r="K329" s="3">
        <v>10908.24</v>
      </c>
      <c r="L329" s="3">
        <v>7624.26</v>
      </c>
      <c r="M329" s="3">
        <v>3283.98</v>
      </c>
      <c r="N329" t="s">
        <v>62</v>
      </c>
    </row>
    <row r="330" spans="1:14" x14ac:dyDescent="0.3">
      <c r="A330" t="s">
        <v>433</v>
      </c>
      <c r="B330" s="2">
        <v>45354</v>
      </c>
      <c r="C330" t="s">
        <v>56</v>
      </c>
      <c r="D330" t="s">
        <v>16</v>
      </c>
      <c r="E330" t="s">
        <v>17</v>
      </c>
      <c r="F330" t="s">
        <v>18</v>
      </c>
      <c r="G330" t="s">
        <v>82</v>
      </c>
      <c r="H330" t="s">
        <v>100</v>
      </c>
      <c r="I330">
        <v>2</v>
      </c>
      <c r="J330" s="3">
        <v>845.66</v>
      </c>
      <c r="K330" s="3">
        <v>1691.32</v>
      </c>
      <c r="L330" s="3">
        <v>1285.5999999999999</v>
      </c>
      <c r="M330" s="3">
        <v>405.72</v>
      </c>
      <c r="N330" t="s">
        <v>44</v>
      </c>
    </row>
    <row r="331" spans="1:14" x14ac:dyDescent="0.3">
      <c r="A331" t="s">
        <v>434</v>
      </c>
      <c r="B331" s="2">
        <v>45592</v>
      </c>
      <c r="C331" t="s">
        <v>89</v>
      </c>
      <c r="D331" t="s">
        <v>65</v>
      </c>
      <c r="E331" t="s">
        <v>66</v>
      </c>
      <c r="F331" t="s">
        <v>67</v>
      </c>
      <c r="G331" t="s">
        <v>27</v>
      </c>
      <c r="H331" t="s">
        <v>68</v>
      </c>
      <c r="I331">
        <v>2</v>
      </c>
      <c r="J331" s="3">
        <v>19448.990000000002</v>
      </c>
      <c r="K331" s="3">
        <v>38897.980000000003</v>
      </c>
      <c r="L331" s="3">
        <v>29900.34</v>
      </c>
      <c r="M331" s="3">
        <v>8997.64</v>
      </c>
      <c r="N331" t="s">
        <v>21</v>
      </c>
    </row>
    <row r="332" spans="1:14" x14ac:dyDescent="0.3">
      <c r="A332" t="s">
        <v>435</v>
      </c>
      <c r="B332" s="2">
        <v>45461</v>
      </c>
      <c r="C332" t="s">
        <v>105</v>
      </c>
      <c r="D332" t="s">
        <v>16</v>
      </c>
      <c r="E332" t="s">
        <v>17</v>
      </c>
      <c r="F332" t="s">
        <v>18</v>
      </c>
      <c r="G332" t="s">
        <v>42</v>
      </c>
      <c r="H332" t="s">
        <v>120</v>
      </c>
      <c r="I332">
        <v>2</v>
      </c>
      <c r="J332" s="3">
        <v>2386.62</v>
      </c>
      <c r="K332" s="3">
        <v>4773.24</v>
      </c>
      <c r="L332" s="3">
        <v>3659.32</v>
      </c>
      <c r="M332" s="3">
        <v>1113.92</v>
      </c>
      <c r="N332" t="s">
        <v>54</v>
      </c>
    </row>
    <row r="333" spans="1:14" x14ac:dyDescent="0.3">
      <c r="A333" t="s">
        <v>436</v>
      </c>
      <c r="B333" s="2">
        <v>45307</v>
      </c>
      <c r="C333" t="s">
        <v>89</v>
      </c>
      <c r="D333" t="s">
        <v>24</v>
      </c>
      <c r="E333" t="s">
        <v>47</v>
      </c>
      <c r="F333" t="s">
        <v>73</v>
      </c>
      <c r="G333" t="s">
        <v>27</v>
      </c>
      <c r="H333" t="s">
        <v>28</v>
      </c>
      <c r="I333">
        <v>2</v>
      </c>
      <c r="J333" s="3">
        <v>52524.800000000003</v>
      </c>
      <c r="K333" s="3">
        <v>105049.60000000001</v>
      </c>
      <c r="L333" s="3">
        <v>80804.39</v>
      </c>
      <c r="M333" s="3">
        <v>24245.21</v>
      </c>
      <c r="N333" t="s">
        <v>21</v>
      </c>
    </row>
    <row r="334" spans="1:14" x14ac:dyDescent="0.3">
      <c r="A334" t="s">
        <v>437</v>
      </c>
      <c r="B334" s="2">
        <v>45606</v>
      </c>
      <c r="C334" t="s">
        <v>89</v>
      </c>
      <c r="D334" t="s">
        <v>39</v>
      </c>
      <c r="E334" t="s">
        <v>97</v>
      </c>
      <c r="F334" t="s">
        <v>98</v>
      </c>
      <c r="G334" t="s">
        <v>34</v>
      </c>
      <c r="H334" t="s">
        <v>94</v>
      </c>
      <c r="I334">
        <v>4</v>
      </c>
      <c r="J334" s="3">
        <v>1277.07</v>
      </c>
      <c r="K334" s="3">
        <v>5108.28</v>
      </c>
      <c r="L334" s="3">
        <v>3759.47</v>
      </c>
      <c r="M334" s="3">
        <v>1348.81</v>
      </c>
      <c r="N334" t="s">
        <v>54</v>
      </c>
    </row>
    <row r="335" spans="1:14" x14ac:dyDescent="0.3">
      <c r="A335" t="s">
        <v>438</v>
      </c>
      <c r="B335" s="2">
        <v>45394</v>
      </c>
      <c r="C335" t="s">
        <v>64</v>
      </c>
      <c r="D335" t="s">
        <v>39</v>
      </c>
      <c r="E335" t="s">
        <v>52</v>
      </c>
      <c r="F335" t="s">
        <v>53</v>
      </c>
      <c r="G335" t="s">
        <v>42</v>
      </c>
      <c r="H335" t="s">
        <v>43</v>
      </c>
      <c r="I335">
        <v>4</v>
      </c>
      <c r="J335" s="3">
        <v>2824.93</v>
      </c>
      <c r="K335" s="3">
        <v>11299.72</v>
      </c>
      <c r="L335" s="3">
        <v>8779.16</v>
      </c>
      <c r="M335" s="3">
        <v>2520.56</v>
      </c>
      <c r="N335" t="s">
        <v>44</v>
      </c>
    </row>
    <row r="336" spans="1:14" x14ac:dyDescent="0.3">
      <c r="A336" t="s">
        <v>439</v>
      </c>
      <c r="B336" s="2">
        <v>45456</v>
      </c>
      <c r="C336" t="s">
        <v>76</v>
      </c>
      <c r="D336" t="s">
        <v>24</v>
      </c>
      <c r="E336" t="s">
        <v>57</v>
      </c>
      <c r="F336" t="s">
        <v>58</v>
      </c>
      <c r="G336" t="s">
        <v>27</v>
      </c>
      <c r="H336" t="s">
        <v>59</v>
      </c>
      <c r="I336">
        <v>5</v>
      </c>
      <c r="J336" s="3">
        <v>2359.5100000000002</v>
      </c>
      <c r="K336" s="3">
        <v>11797.55</v>
      </c>
      <c r="L336" s="3">
        <v>10135.9</v>
      </c>
      <c r="M336" s="3">
        <v>1661.65</v>
      </c>
      <c r="N336" t="s">
        <v>21</v>
      </c>
    </row>
    <row r="337" spans="1:14" x14ac:dyDescent="0.3">
      <c r="A337" t="s">
        <v>440</v>
      </c>
      <c r="B337" s="2">
        <v>45533</v>
      </c>
      <c r="C337" t="s">
        <v>269</v>
      </c>
      <c r="D337" t="s">
        <v>65</v>
      </c>
      <c r="E337" t="s">
        <v>123</v>
      </c>
      <c r="F337" t="s">
        <v>124</v>
      </c>
      <c r="G337" t="s">
        <v>42</v>
      </c>
      <c r="H337" t="s">
        <v>120</v>
      </c>
      <c r="I337">
        <v>2</v>
      </c>
      <c r="J337" s="3">
        <v>2269.02</v>
      </c>
      <c r="K337" s="3">
        <v>4538.04</v>
      </c>
      <c r="L337" s="3">
        <v>3327.77</v>
      </c>
      <c r="M337" s="3">
        <v>1210.27</v>
      </c>
      <c r="N337" t="s">
        <v>62</v>
      </c>
    </row>
    <row r="338" spans="1:14" x14ac:dyDescent="0.3">
      <c r="A338" t="s">
        <v>441</v>
      </c>
      <c r="B338" s="2">
        <v>45586</v>
      </c>
      <c r="C338" t="s">
        <v>38</v>
      </c>
      <c r="D338" t="s">
        <v>24</v>
      </c>
      <c r="E338" t="s">
        <v>57</v>
      </c>
      <c r="F338" t="s">
        <v>58</v>
      </c>
      <c r="G338" t="s">
        <v>42</v>
      </c>
      <c r="H338" t="s">
        <v>106</v>
      </c>
      <c r="I338">
        <v>2</v>
      </c>
      <c r="J338" s="3">
        <v>852.58</v>
      </c>
      <c r="K338" s="3">
        <v>1705.16</v>
      </c>
      <c r="L338" s="3">
        <v>1267.96</v>
      </c>
      <c r="M338" s="3">
        <v>437.2</v>
      </c>
      <c r="N338" t="s">
        <v>44</v>
      </c>
    </row>
    <row r="339" spans="1:14" x14ac:dyDescent="0.3">
      <c r="A339" t="s">
        <v>442</v>
      </c>
      <c r="B339" s="2">
        <v>45306</v>
      </c>
      <c r="C339" t="s">
        <v>269</v>
      </c>
      <c r="D339" t="s">
        <v>65</v>
      </c>
      <c r="E339" t="s">
        <v>123</v>
      </c>
      <c r="F339" t="s">
        <v>124</v>
      </c>
      <c r="G339" t="s">
        <v>19</v>
      </c>
      <c r="H339" t="s">
        <v>20</v>
      </c>
      <c r="I339">
        <v>4</v>
      </c>
      <c r="J339" s="3">
        <v>6554.76</v>
      </c>
      <c r="K339" s="3">
        <v>26219.040000000001</v>
      </c>
      <c r="L339" s="3">
        <v>18749.53</v>
      </c>
      <c r="M339" s="3">
        <v>7469.51</v>
      </c>
      <c r="N339" t="s">
        <v>21</v>
      </c>
    </row>
    <row r="340" spans="1:14" x14ac:dyDescent="0.3">
      <c r="A340" t="s">
        <v>443</v>
      </c>
      <c r="B340" s="2">
        <v>45320</v>
      </c>
      <c r="C340" t="s">
        <v>89</v>
      </c>
      <c r="D340" t="s">
        <v>39</v>
      </c>
      <c r="E340" t="s">
        <v>40</v>
      </c>
      <c r="F340" t="s">
        <v>41</v>
      </c>
      <c r="G340" t="s">
        <v>27</v>
      </c>
      <c r="H340" t="s">
        <v>61</v>
      </c>
      <c r="I340">
        <v>1</v>
      </c>
      <c r="J340" s="3">
        <v>4348.5600000000004</v>
      </c>
      <c r="K340" s="3">
        <v>4348.5600000000004</v>
      </c>
      <c r="L340" s="3">
        <v>3491.14</v>
      </c>
      <c r="M340" s="3">
        <v>857.42</v>
      </c>
      <c r="N340" t="s">
        <v>36</v>
      </c>
    </row>
    <row r="341" spans="1:14" x14ac:dyDescent="0.3">
      <c r="A341" t="s">
        <v>444</v>
      </c>
      <c r="B341" s="2">
        <v>45382</v>
      </c>
      <c r="C341" t="s">
        <v>139</v>
      </c>
      <c r="D341" t="s">
        <v>65</v>
      </c>
      <c r="E341" t="s">
        <v>66</v>
      </c>
      <c r="F341" t="s">
        <v>67</v>
      </c>
      <c r="G341" t="s">
        <v>27</v>
      </c>
      <c r="H341" t="s">
        <v>91</v>
      </c>
      <c r="I341">
        <v>6</v>
      </c>
      <c r="J341" s="3">
        <v>3250.33</v>
      </c>
      <c r="K341" s="3">
        <v>19501.98</v>
      </c>
      <c r="L341" s="3">
        <v>16281.68</v>
      </c>
      <c r="M341" s="3">
        <v>3220.3</v>
      </c>
      <c r="N341" t="s">
        <v>36</v>
      </c>
    </row>
    <row r="342" spans="1:14" x14ac:dyDescent="0.3">
      <c r="A342" t="s">
        <v>445</v>
      </c>
      <c r="B342" s="2">
        <v>45329</v>
      </c>
      <c r="C342" t="s">
        <v>31</v>
      </c>
      <c r="D342" t="s">
        <v>65</v>
      </c>
      <c r="E342" t="s">
        <v>131</v>
      </c>
      <c r="F342" t="s">
        <v>132</v>
      </c>
      <c r="G342" t="s">
        <v>19</v>
      </c>
      <c r="H342" t="s">
        <v>171</v>
      </c>
      <c r="I342">
        <v>3</v>
      </c>
      <c r="J342" s="3">
        <v>4050.99</v>
      </c>
      <c r="K342" s="3">
        <v>12152.97</v>
      </c>
      <c r="L342" s="3">
        <v>10635.94</v>
      </c>
      <c r="M342" s="3">
        <v>1517.03</v>
      </c>
      <c r="N342" t="s">
        <v>29</v>
      </c>
    </row>
    <row r="343" spans="1:14" x14ac:dyDescent="0.3">
      <c r="A343" t="s">
        <v>446</v>
      </c>
      <c r="B343" s="2">
        <v>45541</v>
      </c>
      <c r="C343" t="s">
        <v>38</v>
      </c>
      <c r="D343" t="s">
        <v>65</v>
      </c>
      <c r="E343" t="s">
        <v>123</v>
      </c>
      <c r="F343" t="s">
        <v>124</v>
      </c>
      <c r="G343" t="s">
        <v>19</v>
      </c>
      <c r="H343" t="s">
        <v>151</v>
      </c>
      <c r="I343">
        <v>6</v>
      </c>
      <c r="J343" s="3">
        <v>646.75</v>
      </c>
      <c r="K343" s="3">
        <v>3880.5</v>
      </c>
      <c r="L343" s="3">
        <v>3115.04</v>
      </c>
      <c r="M343" s="3">
        <v>765.46</v>
      </c>
      <c r="N343" t="s">
        <v>62</v>
      </c>
    </row>
    <row r="344" spans="1:14" x14ac:dyDescent="0.3">
      <c r="A344" t="s">
        <v>447</v>
      </c>
      <c r="B344" s="2">
        <v>45632</v>
      </c>
      <c r="C344" t="s">
        <v>64</v>
      </c>
      <c r="D344" t="s">
        <v>39</v>
      </c>
      <c r="E344" t="s">
        <v>70</v>
      </c>
      <c r="F344" t="s">
        <v>71</v>
      </c>
      <c r="G344" t="s">
        <v>34</v>
      </c>
      <c r="H344" t="s">
        <v>35</v>
      </c>
      <c r="I344">
        <v>2</v>
      </c>
      <c r="J344" s="3">
        <v>2338.85</v>
      </c>
      <c r="K344" s="3">
        <v>4677.7</v>
      </c>
      <c r="L344" s="3">
        <v>3182.52</v>
      </c>
      <c r="M344" s="3">
        <v>1495.18</v>
      </c>
      <c r="N344" t="s">
        <v>54</v>
      </c>
    </row>
    <row r="345" spans="1:14" x14ac:dyDescent="0.3">
      <c r="A345" t="s">
        <v>448</v>
      </c>
      <c r="B345" s="2">
        <v>45582</v>
      </c>
      <c r="C345" t="s">
        <v>122</v>
      </c>
      <c r="D345" t="s">
        <v>16</v>
      </c>
      <c r="E345" t="s">
        <v>117</v>
      </c>
      <c r="F345" t="s">
        <v>118</v>
      </c>
      <c r="G345" t="s">
        <v>19</v>
      </c>
      <c r="H345" t="s">
        <v>151</v>
      </c>
      <c r="I345">
        <v>2</v>
      </c>
      <c r="J345" s="3">
        <v>616.76</v>
      </c>
      <c r="K345" s="3">
        <v>1233.52</v>
      </c>
      <c r="L345" s="3">
        <v>864.48</v>
      </c>
      <c r="M345" s="3">
        <v>369.04</v>
      </c>
      <c r="N345" t="s">
        <v>62</v>
      </c>
    </row>
    <row r="346" spans="1:14" x14ac:dyDescent="0.3">
      <c r="A346" t="s">
        <v>449</v>
      </c>
      <c r="B346" s="2">
        <v>45461</v>
      </c>
      <c r="C346" t="s">
        <v>93</v>
      </c>
      <c r="D346" t="s">
        <v>16</v>
      </c>
      <c r="E346" t="s">
        <v>117</v>
      </c>
      <c r="F346" t="s">
        <v>118</v>
      </c>
      <c r="G346" t="s">
        <v>34</v>
      </c>
      <c r="H346" t="s">
        <v>35</v>
      </c>
      <c r="I346">
        <v>2</v>
      </c>
      <c r="J346" s="3">
        <v>2568.09</v>
      </c>
      <c r="K346" s="3">
        <v>5136.18</v>
      </c>
      <c r="L346" s="3">
        <v>4481.91</v>
      </c>
      <c r="M346" s="3">
        <v>654.27</v>
      </c>
      <c r="N346" t="s">
        <v>54</v>
      </c>
    </row>
    <row r="347" spans="1:14" x14ac:dyDescent="0.3">
      <c r="A347" t="s">
        <v>450</v>
      </c>
      <c r="B347" s="2">
        <v>45297</v>
      </c>
      <c r="C347" t="s">
        <v>79</v>
      </c>
      <c r="D347" t="s">
        <v>65</v>
      </c>
      <c r="E347" t="s">
        <v>123</v>
      </c>
      <c r="F347" t="s">
        <v>124</v>
      </c>
      <c r="G347" t="s">
        <v>27</v>
      </c>
      <c r="H347" t="s">
        <v>68</v>
      </c>
      <c r="I347">
        <v>3</v>
      </c>
      <c r="J347" s="3">
        <v>17123.97</v>
      </c>
      <c r="K347" s="3">
        <v>51371.91</v>
      </c>
      <c r="L347" s="3">
        <v>36042.89</v>
      </c>
      <c r="M347" s="3">
        <v>15329.02</v>
      </c>
      <c r="N347" t="s">
        <v>21</v>
      </c>
    </row>
    <row r="348" spans="1:14" x14ac:dyDescent="0.3">
      <c r="A348" t="s">
        <v>451</v>
      </c>
      <c r="B348" s="2">
        <v>45489</v>
      </c>
      <c r="C348" t="s">
        <v>105</v>
      </c>
      <c r="D348" t="s">
        <v>24</v>
      </c>
      <c r="E348" t="s">
        <v>47</v>
      </c>
      <c r="F348" t="s">
        <v>73</v>
      </c>
      <c r="G348" t="s">
        <v>42</v>
      </c>
      <c r="H348" t="s">
        <v>187</v>
      </c>
      <c r="I348">
        <v>4</v>
      </c>
      <c r="J348" s="3">
        <v>914.9</v>
      </c>
      <c r="K348" s="3">
        <v>3659.6</v>
      </c>
      <c r="L348" s="3">
        <v>2745.6</v>
      </c>
      <c r="M348" s="3">
        <v>914</v>
      </c>
      <c r="N348" t="s">
        <v>21</v>
      </c>
    </row>
    <row r="349" spans="1:14" x14ac:dyDescent="0.3">
      <c r="A349" t="s">
        <v>452</v>
      </c>
      <c r="B349" s="2">
        <v>45537</v>
      </c>
      <c r="C349" t="s">
        <v>51</v>
      </c>
      <c r="D349" t="s">
        <v>39</v>
      </c>
      <c r="E349" t="s">
        <v>40</v>
      </c>
      <c r="F349" t="s">
        <v>41</v>
      </c>
      <c r="G349" t="s">
        <v>34</v>
      </c>
      <c r="H349" t="s">
        <v>87</v>
      </c>
      <c r="I349">
        <v>3</v>
      </c>
      <c r="J349" s="3">
        <v>632.80999999999995</v>
      </c>
      <c r="K349" s="3">
        <v>1898.43</v>
      </c>
      <c r="L349" s="3">
        <v>1390.08</v>
      </c>
      <c r="M349" s="3">
        <v>508.35</v>
      </c>
      <c r="N349" t="s">
        <v>21</v>
      </c>
    </row>
    <row r="350" spans="1:14" x14ac:dyDescent="0.3">
      <c r="A350" t="s">
        <v>453</v>
      </c>
      <c r="B350" s="2">
        <v>45467</v>
      </c>
      <c r="C350" t="s">
        <v>93</v>
      </c>
      <c r="D350" t="s">
        <v>39</v>
      </c>
      <c r="E350" t="s">
        <v>70</v>
      </c>
      <c r="F350" t="s">
        <v>71</v>
      </c>
      <c r="G350" t="s">
        <v>27</v>
      </c>
      <c r="H350" t="s">
        <v>68</v>
      </c>
      <c r="I350">
        <v>5</v>
      </c>
      <c r="J350" s="3">
        <v>19590.599999999999</v>
      </c>
      <c r="K350" s="3">
        <v>97953</v>
      </c>
      <c r="L350" s="3">
        <v>85768.46</v>
      </c>
      <c r="M350" s="3">
        <v>12184.54</v>
      </c>
      <c r="N350" t="s">
        <v>44</v>
      </c>
    </row>
    <row r="351" spans="1:14" x14ac:dyDescent="0.3">
      <c r="A351" t="s">
        <v>454</v>
      </c>
      <c r="B351" s="2">
        <v>45606</v>
      </c>
      <c r="C351" t="s">
        <v>51</v>
      </c>
      <c r="D351" t="s">
        <v>24</v>
      </c>
      <c r="E351" t="s">
        <v>25</v>
      </c>
      <c r="F351" t="s">
        <v>26</v>
      </c>
      <c r="G351" t="s">
        <v>34</v>
      </c>
      <c r="H351" t="s">
        <v>74</v>
      </c>
      <c r="I351">
        <v>5</v>
      </c>
      <c r="J351" s="3">
        <v>1724.72</v>
      </c>
      <c r="K351" s="3">
        <v>8623.6</v>
      </c>
      <c r="L351" s="3">
        <v>6135.01</v>
      </c>
      <c r="M351" s="3">
        <v>2488.59</v>
      </c>
      <c r="N351" t="s">
        <v>36</v>
      </c>
    </row>
    <row r="352" spans="1:14" x14ac:dyDescent="0.3">
      <c r="A352" t="s">
        <v>455</v>
      </c>
      <c r="B352" s="2">
        <v>45397</v>
      </c>
      <c r="C352" t="s">
        <v>51</v>
      </c>
      <c r="D352" t="s">
        <v>39</v>
      </c>
      <c r="E352" t="s">
        <v>70</v>
      </c>
      <c r="F352" t="s">
        <v>71</v>
      </c>
      <c r="G352" t="s">
        <v>19</v>
      </c>
      <c r="H352" t="s">
        <v>151</v>
      </c>
      <c r="I352">
        <v>3</v>
      </c>
      <c r="J352" s="3">
        <v>619.27</v>
      </c>
      <c r="K352" s="3">
        <v>1857.81</v>
      </c>
      <c r="L352" s="3">
        <v>1373.81</v>
      </c>
      <c r="M352" s="3">
        <v>484</v>
      </c>
      <c r="N352" t="s">
        <v>21</v>
      </c>
    </row>
    <row r="353" spans="1:14" x14ac:dyDescent="0.3">
      <c r="A353" t="s">
        <v>456</v>
      </c>
      <c r="B353" s="2">
        <v>45493</v>
      </c>
      <c r="C353" t="s">
        <v>46</v>
      </c>
      <c r="D353" t="s">
        <v>24</v>
      </c>
      <c r="E353" t="s">
        <v>32</v>
      </c>
      <c r="F353" t="s">
        <v>33</v>
      </c>
      <c r="G353" t="s">
        <v>27</v>
      </c>
      <c r="H353" t="s">
        <v>68</v>
      </c>
      <c r="I353">
        <v>4</v>
      </c>
      <c r="J353" s="3">
        <v>16515.46</v>
      </c>
      <c r="K353" s="3">
        <v>66061.84</v>
      </c>
      <c r="L353" s="3">
        <v>55807.69</v>
      </c>
      <c r="M353" s="3">
        <v>10254.15</v>
      </c>
      <c r="N353" t="s">
        <v>54</v>
      </c>
    </row>
    <row r="354" spans="1:14" x14ac:dyDescent="0.3">
      <c r="A354" t="s">
        <v>457</v>
      </c>
      <c r="B354" s="2">
        <v>45394</v>
      </c>
      <c r="C354" t="s">
        <v>105</v>
      </c>
      <c r="D354" t="s">
        <v>16</v>
      </c>
      <c r="E354" t="s">
        <v>17</v>
      </c>
      <c r="F354" t="s">
        <v>18</v>
      </c>
      <c r="G354" t="s">
        <v>27</v>
      </c>
      <c r="H354" t="s">
        <v>59</v>
      </c>
      <c r="I354">
        <v>1</v>
      </c>
      <c r="J354" s="3">
        <v>2486.79</v>
      </c>
      <c r="K354" s="3">
        <v>2486.79</v>
      </c>
      <c r="L354" s="3">
        <v>1748.47</v>
      </c>
      <c r="M354" s="3">
        <v>738.32</v>
      </c>
      <c r="N354" t="s">
        <v>54</v>
      </c>
    </row>
    <row r="355" spans="1:14" x14ac:dyDescent="0.3">
      <c r="A355" t="s">
        <v>458</v>
      </c>
      <c r="B355" s="2">
        <v>45542</v>
      </c>
      <c r="C355" t="s">
        <v>144</v>
      </c>
      <c r="D355" t="s">
        <v>65</v>
      </c>
      <c r="E355" t="s">
        <v>66</v>
      </c>
      <c r="F355" t="s">
        <v>67</v>
      </c>
      <c r="G355" t="s">
        <v>19</v>
      </c>
      <c r="H355" t="s">
        <v>77</v>
      </c>
      <c r="I355">
        <v>2</v>
      </c>
      <c r="J355" s="3">
        <v>1169.04</v>
      </c>
      <c r="K355" s="3">
        <v>2338.08</v>
      </c>
      <c r="L355" s="3">
        <v>1768.26</v>
      </c>
      <c r="M355" s="3">
        <v>569.82000000000005</v>
      </c>
      <c r="N355" t="s">
        <v>54</v>
      </c>
    </row>
    <row r="356" spans="1:14" x14ac:dyDescent="0.3">
      <c r="A356" t="s">
        <v>459</v>
      </c>
      <c r="B356" s="2">
        <v>45314</v>
      </c>
      <c r="C356" t="s">
        <v>51</v>
      </c>
      <c r="D356" t="s">
        <v>65</v>
      </c>
      <c r="E356" t="s">
        <v>131</v>
      </c>
      <c r="F356" t="s">
        <v>132</v>
      </c>
      <c r="G356" t="s">
        <v>34</v>
      </c>
      <c r="H356" t="s">
        <v>74</v>
      </c>
      <c r="I356">
        <v>3</v>
      </c>
      <c r="J356" s="3">
        <v>1620.56</v>
      </c>
      <c r="K356" s="3">
        <v>4861.68</v>
      </c>
      <c r="L356" s="3">
        <v>3452.89</v>
      </c>
      <c r="M356" s="3">
        <v>1408.79</v>
      </c>
      <c r="N356" t="s">
        <v>21</v>
      </c>
    </row>
    <row r="357" spans="1:14" x14ac:dyDescent="0.3">
      <c r="A357" t="s">
        <v>460</v>
      </c>
      <c r="B357" s="2">
        <v>45634</v>
      </c>
      <c r="C357" t="s">
        <v>139</v>
      </c>
      <c r="D357" t="s">
        <v>65</v>
      </c>
      <c r="E357" t="s">
        <v>131</v>
      </c>
      <c r="F357" t="s">
        <v>132</v>
      </c>
      <c r="G357" t="s">
        <v>42</v>
      </c>
      <c r="H357" t="s">
        <v>111</v>
      </c>
      <c r="I357">
        <v>2</v>
      </c>
      <c r="J357" s="3">
        <v>1617.15</v>
      </c>
      <c r="K357" s="3">
        <v>3234.3</v>
      </c>
      <c r="L357" s="3">
        <v>2743.2</v>
      </c>
      <c r="M357" s="3">
        <v>491.1</v>
      </c>
      <c r="N357" t="s">
        <v>54</v>
      </c>
    </row>
    <row r="358" spans="1:14" x14ac:dyDescent="0.3">
      <c r="A358" t="s">
        <v>461</v>
      </c>
      <c r="B358" s="2">
        <v>45566</v>
      </c>
      <c r="C358" t="s">
        <v>139</v>
      </c>
      <c r="D358" t="s">
        <v>24</v>
      </c>
      <c r="E358" t="s">
        <v>32</v>
      </c>
      <c r="F358" t="s">
        <v>33</v>
      </c>
      <c r="G358" t="s">
        <v>34</v>
      </c>
      <c r="H358" t="s">
        <v>87</v>
      </c>
      <c r="I358">
        <v>4</v>
      </c>
      <c r="J358" s="3">
        <v>756.39</v>
      </c>
      <c r="K358" s="3">
        <v>3025.56</v>
      </c>
      <c r="L358" s="3">
        <v>2489.62</v>
      </c>
      <c r="M358" s="3">
        <v>535.94000000000005</v>
      </c>
      <c r="N358" t="s">
        <v>44</v>
      </c>
    </row>
    <row r="359" spans="1:14" x14ac:dyDescent="0.3">
      <c r="A359" t="s">
        <v>462</v>
      </c>
      <c r="B359" s="2">
        <v>45556</v>
      </c>
      <c r="C359" t="s">
        <v>23</v>
      </c>
      <c r="D359" t="s">
        <v>39</v>
      </c>
      <c r="E359" t="s">
        <v>52</v>
      </c>
      <c r="F359" t="s">
        <v>53</v>
      </c>
      <c r="G359" t="s">
        <v>42</v>
      </c>
      <c r="H359" t="s">
        <v>187</v>
      </c>
      <c r="I359">
        <v>2</v>
      </c>
      <c r="J359" s="3">
        <v>926.34</v>
      </c>
      <c r="K359" s="3">
        <v>1852.68</v>
      </c>
      <c r="L359" s="3">
        <v>1321.76</v>
      </c>
      <c r="M359" s="3">
        <v>530.91999999999996</v>
      </c>
      <c r="N359" t="s">
        <v>62</v>
      </c>
    </row>
    <row r="360" spans="1:14" x14ac:dyDescent="0.3">
      <c r="A360" t="s">
        <v>463</v>
      </c>
      <c r="B360" s="2">
        <v>45356</v>
      </c>
      <c r="C360" t="s">
        <v>46</v>
      </c>
      <c r="D360" t="s">
        <v>16</v>
      </c>
      <c r="E360" t="s">
        <v>47</v>
      </c>
      <c r="F360" t="s">
        <v>48</v>
      </c>
      <c r="G360" t="s">
        <v>27</v>
      </c>
      <c r="H360" t="s">
        <v>61</v>
      </c>
      <c r="I360">
        <v>2</v>
      </c>
      <c r="J360" s="3">
        <v>4947.54</v>
      </c>
      <c r="K360" s="3">
        <v>9895.08</v>
      </c>
      <c r="L360" s="3">
        <v>7969.95</v>
      </c>
      <c r="M360" s="3">
        <v>1925.13</v>
      </c>
      <c r="N360" t="s">
        <v>36</v>
      </c>
    </row>
    <row r="361" spans="1:14" x14ac:dyDescent="0.3">
      <c r="A361" t="s">
        <v>464</v>
      </c>
      <c r="B361" s="2">
        <v>45455</v>
      </c>
      <c r="C361" t="s">
        <v>102</v>
      </c>
      <c r="D361" t="s">
        <v>16</v>
      </c>
      <c r="E361" t="s">
        <v>17</v>
      </c>
      <c r="F361" t="s">
        <v>18</v>
      </c>
      <c r="G361" t="s">
        <v>34</v>
      </c>
      <c r="H361" t="s">
        <v>49</v>
      </c>
      <c r="I361">
        <v>5</v>
      </c>
      <c r="J361" s="3">
        <v>3088.72</v>
      </c>
      <c r="K361" s="3">
        <v>15443.6</v>
      </c>
      <c r="L361" s="3">
        <v>11354.75</v>
      </c>
      <c r="M361" s="3">
        <v>4088.85</v>
      </c>
      <c r="N361" t="s">
        <v>21</v>
      </c>
    </row>
    <row r="362" spans="1:14" x14ac:dyDescent="0.3">
      <c r="A362" t="s">
        <v>465</v>
      </c>
      <c r="B362" s="2">
        <v>45650</v>
      </c>
      <c r="C362" t="s">
        <v>51</v>
      </c>
      <c r="D362" t="s">
        <v>24</v>
      </c>
      <c r="E362" t="s">
        <v>25</v>
      </c>
      <c r="F362" t="s">
        <v>26</v>
      </c>
      <c r="G362" t="s">
        <v>34</v>
      </c>
      <c r="H362" t="s">
        <v>74</v>
      </c>
      <c r="I362">
        <v>5</v>
      </c>
      <c r="J362" s="3">
        <v>1628.14</v>
      </c>
      <c r="K362" s="3">
        <v>8140.7</v>
      </c>
      <c r="L362" s="3">
        <v>6770.42</v>
      </c>
      <c r="M362" s="3">
        <v>1370.28</v>
      </c>
      <c r="N362" t="s">
        <v>21</v>
      </c>
    </row>
    <row r="363" spans="1:14" x14ac:dyDescent="0.3">
      <c r="A363" t="s">
        <v>466</v>
      </c>
      <c r="B363" s="2">
        <v>45580</v>
      </c>
      <c r="C363" t="s">
        <v>64</v>
      </c>
      <c r="D363" t="s">
        <v>16</v>
      </c>
      <c r="E363" t="s">
        <v>80</v>
      </c>
      <c r="F363" t="s">
        <v>81</v>
      </c>
      <c r="G363" t="s">
        <v>82</v>
      </c>
      <c r="H363" t="s">
        <v>83</v>
      </c>
      <c r="I363">
        <v>4</v>
      </c>
      <c r="J363" s="3">
        <v>619.34</v>
      </c>
      <c r="K363" s="3">
        <v>2477.36</v>
      </c>
      <c r="L363" s="3">
        <v>2009.03</v>
      </c>
      <c r="M363" s="3">
        <v>468.33</v>
      </c>
      <c r="N363" t="s">
        <v>44</v>
      </c>
    </row>
    <row r="364" spans="1:14" x14ac:dyDescent="0.3">
      <c r="A364" t="s">
        <v>467</v>
      </c>
      <c r="B364" s="2">
        <v>45534</v>
      </c>
      <c r="C364" t="s">
        <v>269</v>
      </c>
      <c r="D364" t="s">
        <v>16</v>
      </c>
      <c r="E364" t="s">
        <v>117</v>
      </c>
      <c r="F364" t="s">
        <v>118</v>
      </c>
      <c r="G364" t="s">
        <v>27</v>
      </c>
      <c r="H364" t="s">
        <v>28</v>
      </c>
      <c r="I364">
        <v>5</v>
      </c>
      <c r="J364" s="3">
        <v>56195.21</v>
      </c>
      <c r="K364" s="3">
        <v>280976.05</v>
      </c>
      <c r="L364" s="3">
        <v>230044.15</v>
      </c>
      <c r="M364" s="3">
        <v>50931.9</v>
      </c>
      <c r="N364" t="s">
        <v>54</v>
      </c>
    </row>
    <row r="365" spans="1:14" x14ac:dyDescent="0.3">
      <c r="A365" t="s">
        <v>468</v>
      </c>
      <c r="B365" s="2">
        <v>45461</v>
      </c>
      <c r="C365" t="s">
        <v>86</v>
      </c>
      <c r="D365" t="s">
        <v>39</v>
      </c>
      <c r="E365" t="s">
        <v>52</v>
      </c>
      <c r="F365" t="s">
        <v>53</v>
      </c>
      <c r="G365" t="s">
        <v>19</v>
      </c>
      <c r="H365" t="s">
        <v>171</v>
      </c>
      <c r="I365">
        <v>3</v>
      </c>
      <c r="J365" s="3">
        <v>3797</v>
      </c>
      <c r="K365" s="3">
        <v>11391</v>
      </c>
      <c r="L365" s="3">
        <v>9608.0499999999993</v>
      </c>
      <c r="M365" s="3">
        <v>1782.95</v>
      </c>
      <c r="N365" t="s">
        <v>36</v>
      </c>
    </row>
    <row r="366" spans="1:14" x14ac:dyDescent="0.3">
      <c r="A366" t="s">
        <v>469</v>
      </c>
      <c r="B366" s="2">
        <v>45435</v>
      </c>
      <c r="C366" t="s">
        <v>93</v>
      </c>
      <c r="D366" t="s">
        <v>24</v>
      </c>
      <c r="E366" t="s">
        <v>25</v>
      </c>
      <c r="F366" t="s">
        <v>26</v>
      </c>
      <c r="G366" t="s">
        <v>42</v>
      </c>
      <c r="H366" t="s">
        <v>106</v>
      </c>
      <c r="I366">
        <v>2</v>
      </c>
      <c r="J366" s="3">
        <v>864.09</v>
      </c>
      <c r="K366" s="3">
        <v>1728.18</v>
      </c>
      <c r="L366" s="3">
        <v>1432.22</v>
      </c>
      <c r="M366" s="3">
        <v>295.95999999999998</v>
      </c>
      <c r="N366" t="s">
        <v>36</v>
      </c>
    </row>
    <row r="367" spans="1:14" x14ac:dyDescent="0.3">
      <c r="A367" t="s">
        <v>470</v>
      </c>
      <c r="B367" s="2">
        <v>45505</v>
      </c>
      <c r="C367" t="s">
        <v>38</v>
      </c>
      <c r="D367" t="s">
        <v>16</v>
      </c>
      <c r="E367" t="s">
        <v>117</v>
      </c>
      <c r="F367" t="s">
        <v>118</v>
      </c>
      <c r="G367" t="s">
        <v>34</v>
      </c>
      <c r="H367" t="s">
        <v>49</v>
      </c>
      <c r="I367">
        <v>6</v>
      </c>
      <c r="J367" s="3">
        <v>3190.05</v>
      </c>
      <c r="K367" s="3">
        <v>19140.3</v>
      </c>
      <c r="L367" s="3">
        <v>14992.6</v>
      </c>
      <c r="M367" s="3">
        <v>4147.7</v>
      </c>
      <c r="N367" t="s">
        <v>21</v>
      </c>
    </row>
    <row r="368" spans="1:14" x14ac:dyDescent="0.3">
      <c r="A368" t="s">
        <v>471</v>
      </c>
      <c r="B368" s="2">
        <v>45555</v>
      </c>
      <c r="C368" t="s">
        <v>64</v>
      </c>
      <c r="D368" t="s">
        <v>39</v>
      </c>
      <c r="E368" t="s">
        <v>52</v>
      </c>
      <c r="F368" t="s">
        <v>53</v>
      </c>
      <c r="G368" t="s">
        <v>34</v>
      </c>
      <c r="H368" t="s">
        <v>94</v>
      </c>
      <c r="I368">
        <v>4</v>
      </c>
      <c r="J368" s="3">
        <v>1297.98</v>
      </c>
      <c r="K368" s="3">
        <v>5191.92</v>
      </c>
      <c r="L368" s="3">
        <v>4414.4799999999996</v>
      </c>
      <c r="M368" s="3">
        <v>777.44</v>
      </c>
      <c r="N368" t="s">
        <v>21</v>
      </c>
    </row>
    <row r="369" spans="1:14" x14ac:dyDescent="0.3">
      <c r="A369" t="s">
        <v>472</v>
      </c>
      <c r="B369" s="2">
        <v>45380</v>
      </c>
      <c r="C369" t="s">
        <v>23</v>
      </c>
      <c r="D369" t="s">
        <v>39</v>
      </c>
      <c r="E369" t="s">
        <v>40</v>
      </c>
      <c r="F369" t="s">
        <v>41</v>
      </c>
      <c r="G369" t="s">
        <v>82</v>
      </c>
      <c r="H369" t="s">
        <v>100</v>
      </c>
      <c r="I369">
        <v>1</v>
      </c>
      <c r="J369" s="3">
        <v>892.16</v>
      </c>
      <c r="K369" s="3">
        <v>892.16</v>
      </c>
      <c r="L369" s="3">
        <v>770.47</v>
      </c>
      <c r="M369" s="3">
        <v>121.69</v>
      </c>
      <c r="N369" t="s">
        <v>36</v>
      </c>
    </row>
    <row r="370" spans="1:14" x14ac:dyDescent="0.3">
      <c r="A370" t="s">
        <v>473</v>
      </c>
      <c r="B370" s="2">
        <v>45480</v>
      </c>
      <c r="C370" t="s">
        <v>46</v>
      </c>
      <c r="D370" t="s">
        <v>24</v>
      </c>
      <c r="E370" t="s">
        <v>47</v>
      </c>
      <c r="F370" t="s">
        <v>73</v>
      </c>
      <c r="G370" t="s">
        <v>19</v>
      </c>
      <c r="H370" t="s">
        <v>147</v>
      </c>
      <c r="I370">
        <v>6</v>
      </c>
      <c r="J370" s="3">
        <v>2537.12</v>
      </c>
      <c r="K370" s="3">
        <v>15222.72</v>
      </c>
      <c r="L370" s="3">
        <v>11485.44</v>
      </c>
      <c r="M370" s="3">
        <v>3737.28</v>
      </c>
      <c r="N370" t="s">
        <v>54</v>
      </c>
    </row>
    <row r="371" spans="1:14" x14ac:dyDescent="0.3">
      <c r="A371" t="s">
        <v>474</v>
      </c>
      <c r="B371" s="2">
        <v>45382</v>
      </c>
      <c r="C371" t="s">
        <v>79</v>
      </c>
      <c r="D371" t="s">
        <v>24</v>
      </c>
      <c r="E371" t="s">
        <v>57</v>
      </c>
      <c r="F371" t="s">
        <v>58</v>
      </c>
      <c r="G371" t="s">
        <v>34</v>
      </c>
      <c r="H371" t="s">
        <v>35</v>
      </c>
      <c r="I371">
        <v>6</v>
      </c>
      <c r="J371" s="3">
        <v>2665.44</v>
      </c>
      <c r="K371" s="3">
        <v>15992.64</v>
      </c>
      <c r="L371" s="3">
        <v>11164.12</v>
      </c>
      <c r="M371" s="3">
        <v>4828.5200000000004</v>
      </c>
      <c r="N371" t="s">
        <v>54</v>
      </c>
    </row>
    <row r="372" spans="1:14" x14ac:dyDescent="0.3">
      <c r="A372" t="s">
        <v>475</v>
      </c>
      <c r="B372" s="2">
        <v>45317</v>
      </c>
      <c r="C372" t="s">
        <v>139</v>
      </c>
      <c r="D372" t="s">
        <v>39</v>
      </c>
      <c r="E372" t="s">
        <v>40</v>
      </c>
      <c r="F372" t="s">
        <v>41</v>
      </c>
      <c r="G372" t="s">
        <v>82</v>
      </c>
      <c r="H372" t="s">
        <v>100</v>
      </c>
      <c r="I372">
        <v>6</v>
      </c>
      <c r="J372" s="3">
        <v>847.21</v>
      </c>
      <c r="K372" s="3">
        <v>5083.26</v>
      </c>
      <c r="L372" s="3">
        <v>4119.05</v>
      </c>
      <c r="M372" s="3">
        <v>964.21</v>
      </c>
      <c r="N372" t="s">
        <v>21</v>
      </c>
    </row>
    <row r="373" spans="1:14" x14ac:dyDescent="0.3">
      <c r="A373" t="s">
        <v>476</v>
      </c>
      <c r="B373" s="2">
        <v>45641</v>
      </c>
      <c r="C373" t="s">
        <v>46</v>
      </c>
      <c r="D373" t="s">
        <v>16</v>
      </c>
      <c r="E373" t="s">
        <v>47</v>
      </c>
      <c r="F373" t="s">
        <v>48</v>
      </c>
      <c r="G373" t="s">
        <v>42</v>
      </c>
      <c r="H373" t="s">
        <v>106</v>
      </c>
      <c r="I373">
        <v>5</v>
      </c>
      <c r="J373" s="3">
        <v>954.16</v>
      </c>
      <c r="K373" s="3">
        <v>4770.8</v>
      </c>
      <c r="L373" s="3">
        <v>3457.66</v>
      </c>
      <c r="M373" s="3">
        <v>1313.14</v>
      </c>
      <c r="N373" t="s">
        <v>36</v>
      </c>
    </row>
    <row r="374" spans="1:14" x14ac:dyDescent="0.3">
      <c r="A374" t="s">
        <v>477</v>
      </c>
      <c r="B374" s="2">
        <v>45656</v>
      </c>
      <c r="C374" t="s">
        <v>139</v>
      </c>
      <c r="D374" t="s">
        <v>65</v>
      </c>
      <c r="E374" t="s">
        <v>131</v>
      </c>
      <c r="F374" t="s">
        <v>132</v>
      </c>
      <c r="G374" t="s">
        <v>82</v>
      </c>
      <c r="H374" t="s">
        <v>83</v>
      </c>
      <c r="I374">
        <v>4</v>
      </c>
      <c r="J374" s="3">
        <v>617.76</v>
      </c>
      <c r="K374" s="3">
        <v>2471.04</v>
      </c>
      <c r="L374" s="3">
        <v>1910.95</v>
      </c>
      <c r="M374" s="3">
        <v>560.09</v>
      </c>
      <c r="N374" t="s">
        <v>44</v>
      </c>
    </row>
    <row r="375" spans="1:14" x14ac:dyDescent="0.3">
      <c r="A375" t="s">
        <v>478</v>
      </c>
      <c r="B375" s="2">
        <v>45495</v>
      </c>
      <c r="C375" t="s">
        <v>86</v>
      </c>
      <c r="D375" t="s">
        <v>16</v>
      </c>
      <c r="E375" t="s">
        <v>17</v>
      </c>
      <c r="F375" t="s">
        <v>18</v>
      </c>
      <c r="G375" t="s">
        <v>34</v>
      </c>
      <c r="H375" t="s">
        <v>35</v>
      </c>
      <c r="I375">
        <v>5</v>
      </c>
      <c r="J375" s="3">
        <v>2573.67</v>
      </c>
      <c r="K375" s="3">
        <v>12868.35</v>
      </c>
      <c r="L375" s="3">
        <v>10317.969999999999</v>
      </c>
      <c r="M375" s="3">
        <v>2550.38</v>
      </c>
      <c r="N375" t="s">
        <v>29</v>
      </c>
    </row>
    <row r="376" spans="1:14" x14ac:dyDescent="0.3">
      <c r="A376" t="s">
        <v>479</v>
      </c>
      <c r="B376" s="2">
        <v>45347</v>
      </c>
      <c r="C376" t="s">
        <v>86</v>
      </c>
      <c r="D376" t="s">
        <v>24</v>
      </c>
      <c r="E376" t="s">
        <v>25</v>
      </c>
      <c r="F376" t="s">
        <v>26</v>
      </c>
      <c r="G376" t="s">
        <v>34</v>
      </c>
      <c r="H376" t="s">
        <v>35</v>
      </c>
      <c r="I376">
        <v>6</v>
      </c>
      <c r="J376" s="3">
        <v>2412.5700000000002</v>
      </c>
      <c r="K376" s="3">
        <v>14475.42</v>
      </c>
      <c r="L376" s="3">
        <v>10644.89</v>
      </c>
      <c r="M376" s="3">
        <v>3830.53</v>
      </c>
      <c r="N376" t="s">
        <v>62</v>
      </c>
    </row>
    <row r="377" spans="1:14" x14ac:dyDescent="0.3">
      <c r="A377" t="s">
        <v>480</v>
      </c>
      <c r="B377" s="2">
        <v>45368</v>
      </c>
      <c r="C377" t="s">
        <v>79</v>
      </c>
      <c r="D377" t="s">
        <v>39</v>
      </c>
      <c r="E377" t="s">
        <v>52</v>
      </c>
      <c r="F377" t="s">
        <v>53</v>
      </c>
      <c r="G377" t="s">
        <v>82</v>
      </c>
      <c r="H377" t="s">
        <v>200</v>
      </c>
      <c r="I377">
        <v>4</v>
      </c>
      <c r="J377" s="3">
        <v>1857.79</v>
      </c>
      <c r="K377" s="3">
        <v>7431.16</v>
      </c>
      <c r="L377" s="3">
        <v>6064.95</v>
      </c>
      <c r="M377" s="3">
        <v>1366.21</v>
      </c>
      <c r="N377" t="s">
        <v>29</v>
      </c>
    </row>
    <row r="378" spans="1:14" x14ac:dyDescent="0.3">
      <c r="A378" t="s">
        <v>481</v>
      </c>
      <c r="B378" s="2">
        <v>45546</v>
      </c>
      <c r="C378" t="s">
        <v>64</v>
      </c>
      <c r="D378" t="s">
        <v>65</v>
      </c>
      <c r="E378" t="s">
        <v>113</v>
      </c>
      <c r="F378" t="s">
        <v>114</v>
      </c>
      <c r="G378" t="s">
        <v>42</v>
      </c>
      <c r="H378" t="s">
        <v>187</v>
      </c>
      <c r="I378">
        <v>4</v>
      </c>
      <c r="J378" s="3">
        <v>890.24</v>
      </c>
      <c r="K378" s="3">
        <v>3560.96</v>
      </c>
      <c r="L378" s="3">
        <v>2836.68</v>
      </c>
      <c r="M378" s="3">
        <v>724.28</v>
      </c>
      <c r="N378" t="s">
        <v>62</v>
      </c>
    </row>
    <row r="379" spans="1:14" x14ac:dyDescent="0.3">
      <c r="A379" t="s">
        <v>482</v>
      </c>
      <c r="B379" s="2">
        <v>45467</v>
      </c>
      <c r="C379" t="s">
        <v>15</v>
      </c>
      <c r="D379" t="s">
        <v>39</v>
      </c>
      <c r="E379" t="s">
        <v>70</v>
      </c>
      <c r="F379" t="s">
        <v>71</v>
      </c>
      <c r="G379" t="s">
        <v>42</v>
      </c>
      <c r="H379" t="s">
        <v>43</v>
      </c>
      <c r="I379">
        <v>5</v>
      </c>
      <c r="J379" s="3">
        <v>2688.11</v>
      </c>
      <c r="K379" s="3">
        <v>13440.55</v>
      </c>
      <c r="L379" s="3">
        <v>9596.52</v>
      </c>
      <c r="M379" s="3">
        <v>3844.03</v>
      </c>
      <c r="N379" t="s">
        <v>62</v>
      </c>
    </row>
    <row r="380" spans="1:14" x14ac:dyDescent="0.3">
      <c r="A380" t="s">
        <v>483</v>
      </c>
      <c r="B380" s="2">
        <v>45442</v>
      </c>
      <c r="C380" t="s">
        <v>144</v>
      </c>
      <c r="D380" t="s">
        <v>16</v>
      </c>
      <c r="E380" t="s">
        <v>47</v>
      </c>
      <c r="F380" t="s">
        <v>48</v>
      </c>
      <c r="G380" t="s">
        <v>27</v>
      </c>
      <c r="H380" t="s">
        <v>59</v>
      </c>
      <c r="I380">
        <v>6</v>
      </c>
      <c r="J380" s="3">
        <v>2654.17</v>
      </c>
      <c r="K380" s="3">
        <v>15925.02</v>
      </c>
      <c r="L380" s="3">
        <v>13258.91</v>
      </c>
      <c r="M380" s="3">
        <v>2666.11</v>
      </c>
      <c r="N380" t="s">
        <v>29</v>
      </c>
    </row>
    <row r="381" spans="1:14" x14ac:dyDescent="0.3">
      <c r="A381" t="s">
        <v>484</v>
      </c>
      <c r="B381" s="2">
        <v>45463</v>
      </c>
      <c r="C381" t="s">
        <v>76</v>
      </c>
      <c r="D381" t="s">
        <v>16</v>
      </c>
      <c r="E381" t="s">
        <v>117</v>
      </c>
      <c r="F381" t="s">
        <v>118</v>
      </c>
      <c r="G381" t="s">
        <v>34</v>
      </c>
      <c r="H381" t="s">
        <v>35</v>
      </c>
      <c r="I381">
        <v>4</v>
      </c>
      <c r="J381" s="3">
        <v>2644.05</v>
      </c>
      <c r="K381" s="3">
        <v>10576.2</v>
      </c>
      <c r="L381" s="3">
        <v>7892.63</v>
      </c>
      <c r="M381" s="3">
        <v>2683.57</v>
      </c>
      <c r="N381" t="s">
        <v>44</v>
      </c>
    </row>
    <row r="382" spans="1:14" x14ac:dyDescent="0.3">
      <c r="A382" t="s">
        <v>485</v>
      </c>
      <c r="B382" s="2">
        <v>45442</v>
      </c>
      <c r="C382" t="s">
        <v>23</v>
      </c>
      <c r="D382" t="s">
        <v>24</v>
      </c>
      <c r="E382" t="s">
        <v>25</v>
      </c>
      <c r="F382" t="s">
        <v>26</v>
      </c>
      <c r="G382" t="s">
        <v>34</v>
      </c>
      <c r="H382" t="s">
        <v>94</v>
      </c>
      <c r="I382">
        <v>5</v>
      </c>
      <c r="J382" s="3">
        <v>1524.4</v>
      </c>
      <c r="K382" s="3">
        <v>7622</v>
      </c>
      <c r="L382" s="3">
        <v>5291.52</v>
      </c>
      <c r="M382" s="3">
        <v>2330.48</v>
      </c>
      <c r="N382" t="s">
        <v>44</v>
      </c>
    </row>
    <row r="383" spans="1:14" x14ac:dyDescent="0.3">
      <c r="A383" t="s">
        <v>486</v>
      </c>
      <c r="B383" s="2">
        <v>45353</v>
      </c>
      <c r="C383" t="s">
        <v>64</v>
      </c>
      <c r="D383" t="s">
        <v>24</v>
      </c>
      <c r="E383" t="s">
        <v>57</v>
      </c>
      <c r="F383" t="s">
        <v>58</v>
      </c>
      <c r="G383" t="s">
        <v>34</v>
      </c>
      <c r="H383" t="s">
        <v>74</v>
      </c>
      <c r="I383">
        <v>2</v>
      </c>
      <c r="J383" s="3">
        <v>1757.55</v>
      </c>
      <c r="K383" s="3">
        <v>3515.1</v>
      </c>
      <c r="L383" s="3">
        <v>2631.17</v>
      </c>
      <c r="M383" s="3">
        <v>883.93</v>
      </c>
      <c r="N383" t="s">
        <v>54</v>
      </c>
    </row>
    <row r="384" spans="1:14" x14ac:dyDescent="0.3">
      <c r="A384" t="s">
        <v>487</v>
      </c>
      <c r="B384" s="2">
        <v>45365</v>
      </c>
      <c r="C384" t="s">
        <v>269</v>
      </c>
      <c r="D384" t="s">
        <v>65</v>
      </c>
      <c r="E384" t="s">
        <v>123</v>
      </c>
      <c r="F384" t="s">
        <v>124</v>
      </c>
      <c r="G384" t="s">
        <v>82</v>
      </c>
      <c r="H384" t="s">
        <v>135</v>
      </c>
      <c r="I384">
        <v>3</v>
      </c>
      <c r="J384" s="3">
        <v>564.41</v>
      </c>
      <c r="K384" s="3">
        <v>1693.23</v>
      </c>
      <c r="L384" s="3">
        <v>1211.28</v>
      </c>
      <c r="M384" s="3">
        <v>481.95</v>
      </c>
      <c r="N384" t="s">
        <v>21</v>
      </c>
    </row>
    <row r="385" spans="1:14" x14ac:dyDescent="0.3">
      <c r="A385" t="s">
        <v>488</v>
      </c>
      <c r="B385" s="2">
        <v>45523</v>
      </c>
      <c r="C385" t="s">
        <v>56</v>
      </c>
      <c r="D385" t="s">
        <v>65</v>
      </c>
      <c r="E385" t="s">
        <v>123</v>
      </c>
      <c r="F385" t="s">
        <v>124</v>
      </c>
      <c r="G385" t="s">
        <v>82</v>
      </c>
      <c r="H385" t="s">
        <v>100</v>
      </c>
      <c r="I385">
        <v>5</v>
      </c>
      <c r="J385" s="3">
        <v>947.61</v>
      </c>
      <c r="K385" s="3">
        <v>4738.05</v>
      </c>
      <c r="L385" s="3">
        <v>3685.8</v>
      </c>
      <c r="M385" s="3">
        <v>1052.25</v>
      </c>
      <c r="N385" t="s">
        <v>62</v>
      </c>
    </row>
    <row r="386" spans="1:14" x14ac:dyDescent="0.3">
      <c r="A386" t="s">
        <v>489</v>
      </c>
      <c r="B386" s="2">
        <v>45606</v>
      </c>
      <c r="C386" t="s">
        <v>38</v>
      </c>
      <c r="D386" t="s">
        <v>24</v>
      </c>
      <c r="E386" t="s">
        <v>47</v>
      </c>
      <c r="F386" t="s">
        <v>73</v>
      </c>
      <c r="G386" t="s">
        <v>34</v>
      </c>
      <c r="H386" t="s">
        <v>49</v>
      </c>
      <c r="I386">
        <v>4</v>
      </c>
      <c r="J386" s="3">
        <v>2882.99</v>
      </c>
      <c r="K386" s="3">
        <v>11531.96</v>
      </c>
      <c r="L386" s="3">
        <v>9072.84</v>
      </c>
      <c r="M386" s="3">
        <v>2459.12</v>
      </c>
      <c r="N386" t="s">
        <v>21</v>
      </c>
    </row>
    <row r="387" spans="1:14" x14ac:dyDescent="0.3">
      <c r="A387" t="s">
        <v>490</v>
      </c>
      <c r="B387" s="2">
        <v>45456</v>
      </c>
      <c r="C387" t="s">
        <v>89</v>
      </c>
      <c r="D387" t="s">
        <v>39</v>
      </c>
      <c r="E387" t="s">
        <v>52</v>
      </c>
      <c r="F387" t="s">
        <v>53</v>
      </c>
      <c r="G387" t="s">
        <v>19</v>
      </c>
      <c r="H387" t="s">
        <v>20</v>
      </c>
      <c r="I387">
        <v>2</v>
      </c>
      <c r="J387" s="3">
        <v>6751.58</v>
      </c>
      <c r="K387" s="3">
        <v>13503.16</v>
      </c>
      <c r="L387" s="3">
        <v>10112.11</v>
      </c>
      <c r="M387" s="3">
        <v>3391.05</v>
      </c>
      <c r="N387" t="s">
        <v>21</v>
      </c>
    </row>
    <row r="388" spans="1:14" x14ac:dyDescent="0.3">
      <c r="A388" t="s">
        <v>491</v>
      </c>
      <c r="B388" s="2">
        <v>45488</v>
      </c>
      <c r="C388" t="s">
        <v>139</v>
      </c>
      <c r="D388" t="s">
        <v>65</v>
      </c>
      <c r="E388" t="s">
        <v>123</v>
      </c>
      <c r="F388" t="s">
        <v>124</v>
      </c>
      <c r="G388" t="s">
        <v>27</v>
      </c>
      <c r="H388" t="s">
        <v>68</v>
      </c>
      <c r="I388">
        <v>3</v>
      </c>
      <c r="J388" s="3">
        <v>19614.47</v>
      </c>
      <c r="K388" s="3">
        <v>58843.41</v>
      </c>
      <c r="L388" s="3">
        <v>45379.17</v>
      </c>
      <c r="M388" s="3">
        <v>13464.24</v>
      </c>
      <c r="N388" t="s">
        <v>44</v>
      </c>
    </row>
    <row r="389" spans="1:14" x14ac:dyDescent="0.3">
      <c r="A389" t="s">
        <v>492</v>
      </c>
      <c r="B389" s="2">
        <v>45560</v>
      </c>
      <c r="C389" t="s">
        <v>23</v>
      </c>
      <c r="D389" t="s">
        <v>65</v>
      </c>
      <c r="E389" t="s">
        <v>131</v>
      </c>
      <c r="F389" t="s">
        <v>132</v>
      </c>
      <c r="G389" t="s">
        <v>82</v>
      </c>
      <c r="H389" t="s">
        <v>100</v>
      </c>
      <c r="I389">
        <v>3</v>
      </c>
      <c r="J389" s="3">
        <v>989.31</v>
      </c>
      <c r="K389" s="3">
        <v>2967.93</v>
      </c>
      <c r="L389" s="3">
        <v>2309.16</v>
      </c>
      <c r="M389" s="3">
        <v>658.77</v>
      </c>
      <c r="N389" t="s">
        <v>62</v>
      </c>
    </row>
    <row r="390" spans="1:14" x14ac:dyDescent="0.3">
      <c r="A390" t="s">
        <v>493</v>
      </c>
      <c r="B390" s="2">
        <v>45498</v>
      </c>
      <c r="C390" t="s">
        <v>144</v>
      </c>
      <c r="D390" t="s">
        <v>16</v>
      </c>
      <c r="E390" t="s">
        <v>117</v>
      </c>
      <c r="F390" t="s">
        <v>118</v>
      </c>
      <c r="G390" t="s">
        <v>27</v>
      </c>
      <c r="H390" t="s">
        <v>28</v>
      </c>
      <c r="I390">
        <v>2</v>
      </c>
      <c r="J390" s="3">
        <v>57574.84</v>
      </c>
      <c r="K390" s="3">
        <v>115149.68</v>
      </c>
      <c r="L390" s="3">
        <v>91882.37</v>
      </c>
      <c r="M390" s="3">
        <v>23267.31</v>
      </c>
      <c r="N390" t="s">
        <v>21</v>
      </c>
    </row>
    <row r="391" spans="1:14" x14ac:dyDescent="0.3">
      <c r="A391" t="s">
        <v>494</v>
      </c>
      <c r="B391" s="2">
        <v>45479</v>
      </c>
      <c r="C391" t="s">
        <v>269</v>
      </c>
      <c r="D391" t="s">
        <v>16</v>
      </c>
      <c r="E391" t="s">
        <v>47</v>
      </c>
      <c r="F391" t="s">
        <v>48</v>
      </c>
      <c r="G391" t="s">
        <v>82</v>
      </c>
      <c r="H391" t="s">
        <v>83</v>
      </c>
      <c r="I391">
        <v>5</v>
      </c>
      <c r="J391" s="3">
        <v>666.01</v>
      </c>
      <c r="K391" s="3">
        <v>3330.05</v>
      </c>
      <c r="L391" s="3">
        <v>2659.99</v>
      </c>
      <c r="M391" s="3">
        <v>670.06</v>
      </c>
      <c r="N391" t="s">
        <v>29</v>
      </c>
    </row>
    <row r="392" spans="1:14" x14ac:dyDescent="0.3">
      <c r="A392" t="s">
        <v>495</v>
      </c>
      <c r="B392" s="2">
        <v>45347</v>
      </c>
      <c r="C392" t="s">
        <v>122</v>
      </c>
      <c r="D392" t="s">
        <v>16</v>
      </c>
      <c r="E392" t="s">
        <v>17</v>
      </c>
      <c r="F392" t="s">
        <v>18</v>
      </c>
      <c r="G392" t="s">
        <v>19</v>
      </c>
      <c r="H392" t="s">
        <v>77</v>
      </c>
      <c r="I392">
        <v>4</v>
      </c>
      <c r="J392" s="3">
        <v>1171.26</v>
      </c>
      <c r="K392" s="3">
        <v>4685.04</v>
      </c>
      <c r="L392" s="3">
        <v>3698.64</v>
      </c>
      <c r="M392" s="3">
        <v>986.4</v>
      </c>
      <c r="N392" t="s">
        <v>29</v>
      </c>
    </row>
    <row r="393" spans="1:14" x14ac:dyDescent="0.3">
      <c r="A393" t="s">
        <v>496</v>
      </c>
      <c r="B393" s="2">
        <v>45370</v>
      </c>
      <c r="C393" t="s">
        <v>89</v>
      </c>
      <c r="D393" t="s">
        <v>39</v>
      </c>
      <c r="E393" t="s">
        <v>52</v>
      </c>
      <c r="F393" t="s">
        <v>53</v>
      </c>
      <c r="G393" t="s">
        <v>34</v>
      </c>
      <c r="H393" t="s">
        <v>87</v>
      </c>
      <c r="I393">
        <v>6</v>
      </c>
      <c r="J393" s="3">
        <v>702.84</v>
      </c>
      <c r="K393" s="3">
        <v>4217.04</v>
      </c>
      <c r="L393" s="3">
        <v>3392.86</v>
      </c>
      <c r="M393" s="3">
        <v>824.18</v>
      </c>
      <c r="N393" t="s">
        <v>54</v>
      </c>
    </row>
    <row r="394" spans="1:14" x14ac:dyDescent="0.3">
      <c r="A394" t="s">
        <v>497</v>
      </c>
      <c r="B394" s="2">
        <v>45345</v>
      </c>
      <c r="C394" t="s">
        <v>76</v>
      </c>
      <c r="D394" t="s">
        <v>16</v>
      </c>
      <c r="E394" t="s">
        <v>80</v>
      </c>
      <c r="F394" t="s">
        <v>81</v>
      </c>
      <c r="G394" t="s">
        <v>27</v>
      </c>
      <c r="H394" t="s">
        <v>68</v>
      </c>
      <c r="I394">
        <v>4</v>
      </c>
      <c r="J394" s="3">
        <v>16915.13</v>
      </c>
      <c r="K394" s="3">
        <v>67660.52</v>
      </c>
      <c r="L394" s="3">
        <v>48712.18</v>
      </c>
      <c r="M394" s="3">
        <v>18948.34</v>
      </c>
      <c r="N394" t="s">
        <v>44</v>
      </c>
    </row>
    <row r="395" spans="1:14" x14ac:dyDescent="0.3">
      <c r="A395" t="s">
        <v>498</v>
      </c>
      <c r="B395" s="2">
        <v>45395</v>
      </c>
      <c r="C395" t="s">
        <v>122</v>
      </c>
      <c r="D395" t="s">
        <v>65</v>
      </c>
      <c r="E395" t="s">
        <v>131</v>
      </c>
      <c r="F395" t="s">
        <v>132</v>
      </c>
      <c r="G395" t="s">
        <v>27</v>
      </c>
      <c r="H395" t="s">
        <v>68</v>
      </c>
      <c r="I395">
        <v>5</v>
      </c>
      <c r="J395" s="3">
        <v>17986.88</v>
      </c>
      <c r="K395" s="3">
        <v>89934.399999999994</v>
      </c>
      <c r="L395" s="3">
        <v>64891.16</v>
      </c>
      <c r="M395" s="3">
        <v>25043.24</v>
      </c>
      <c r="N395" t="s">
        <v>36</v>
      </c>
    </row>
    <row r="396" spans="1:14" x14ac:dyDescent="0.3">
      <c r="A396" t="s">
        <v>499</v>
      </c>
      <c r="B396" s="2">
        <v>45412</v>
      </c>
      <c r="C396" t="s">
        <v>56</v>
      </c>
      <c r="D396" t="s">
        <v>16</v>
      </c>
      <c r="E396" t="s">
        <v>17</v>
      </c>
      <c r="F396" t="s">
        <v>18</v>
      </c>
      <c r="G396" t="s">
        <v>19</v>
      </c>
      <c r="H396" t="s">
        <v>147</v>
      </c>
      <c r="I396">
        <v>5</v>
      </c>
      <c r="J396" s="3">
        <v>2894.65</v>
      </c>
      <c r="K396" s="3">
        <v>14473.25</v>
      </c>
      <c r="L396" s="3">
        <v>10273.530000000001</v>
      </c>
      <c r="M396" s="3">
        <v>4199.72</v>
      </c>
      <c r="N396" t="s">
        <v>44</v>
      </c>
    </row>
    <row r="397" spans="1:14" x14ac:dyDescent="0.3">
      <c r="A397" t="s">
        <v>500</v>
      </c>
      <c r="B397" s="2">
        <v>45330</v>
      </c>
      <c r="C397" t="s">
        <v>144</v>
      </c>
      <c r="D397" t="s">
        <v>16</v>
      </c>
      <c r="E397" t="s">
        <v>80</v>
      </c>
      <c r="F397" t="s">
        <v>81</v>
      </c>
      <c r="G397" t="s">
        <v>19</v>
      </c>
      <c r="H397" t="s">
        <v>77</v>
      </c>
      <c r="I397">
        <v>3</v>
      </c>
      <c r="J397" s="3">
        <v>1143.3900000000001</v>
      </c>
      <c r="K397" s="3">
        <v>3430.17</v>
      </c>
      <c r="L397" s="3">
        <v>2366.87</v>
      </c>
      <c r="M397" s="3">
        <v>1063.3</v>
      </c>
      <c r="N397" t="s">
        <v>21</v>
      </c>
    </row>
    <row r="398" spans="1:14" x14ac:dyDescent="0.3">
      <c r="A398" t="s">
        <v>501</v>
      </c>
      <c r="B398" s="2">
        <v>45440</v>
      </c>
      <c r="C398" t="s">
        <v>79</v>
      </c>
      <c r="D398" t="s">
        <v>65</v>
      </c>
      <c r="E398" t="s">
        <v>113</v>
      </c>
      <c r="F398" t="s">
        <v>114</v>
      </c>
      <c r="G398" t="s">
        <v>34</v>
      </c>
      <c r="H398" t="s">
        <v>87</v>
      </c>
      <c r="I398">
        <v>1</v>
      </c>
      <c r="J398" s="3">
        <v>749.17</v>
      </c>
      <c r="K398" s="3">
        <v>749.17</v>
      </c>
      <c r="L398" s="3">
        <v>642.83000000000004</v>
      </c>
      <c r="M398" s="3">
        <v>106.34</v>
      </c>
      <c r="N398" t="s">
        <v>62</v>
      </c>
    </row>
    <row r="399" spans="1:14" x14ac:dyDescent="0.3">
      <c r="A399" t="s">
        <v>502</v>
      </c>
      <c r="B399" s="2">
        <v>45631</v>
      </c>
      <c r="C399" t="s">
        <v>38</v>
      </c>
      <c r="D399" t="s">
        <v>39</v>
      </c>
      <c r="E399" t="s">
        <v>97</v>
      </c>
      <c r="F399" t="s">
        <v>98</v>
      </c>
      <c r="G399" t="s">
        <v>34</v>
      </c>
      <c r="H399" t="s">
        <v>49</v>
      </c>
      <c r="I399">
        <v>5</v>
      </c>
      <c r="J399" s="3">
        <v>3051.72</v>
      </c>
      <c r="K399" s="3">
        <v>15258.6</v>
      </c>
      <c r="L399" s="3">
        <v>12612.97</v>
      </c>
      <c r="M399" s="3">
        <v>2645.63</v>
      </c>
      <c r="N399" t="s">
        <v>36</v>
      </c>
    </row>
    <row r="400" spans="1:14" x14ac:dyDescent="0.3">
      <c r="A400" t="s">
        <v>503</v>
      </c>
      <c r="B400" s="2">
        <v>45385</v>
      </c>
      <c r="C400" t="s">
        <v>122</v>
      </c>
      <c r="D400" t="s">
        <v>16</v>
      </c>
      <c r="E400" t="s">
        <v>47</v>
      </c>
      <c r="F400" t="s">
        <v>48</v>
      </c>
      <c r="G400" t="s">
        <v>34</v>
      </c>
      <c r="H400" t="s">
        <v>49</v>
      </c>
      <c r="I400">
        <v>3</v>
      </c>
      <c r="J400" s="3">
        <v>3414.85</v>
      </c>
      <c r="K400" s="3">
        <v>10244.549999999999</v>
      </c>
      <c r="L400" s="3">
        <v>8379.84</v>
      </c>
      <c r="M400" s="3">
        <v>1864.71</v>
      </c>
      <c r="N400" t="s">
        <v>54</v>
      </c>
    </row>
    <row r="401" spans="1:14" x14ac:dyDescent="0.3">
      <c r="A401" t="s">
        <v>504</v>
      </c>
      <c r="B401" s="2">
        <v>45624</v>
      </c>
      <c r="C401" t="s">
        <v>122</v>
      </c>
      <c r="D401" t="s">
        <v>39</v>
      </c>
      <c r="E401" t="s">
        <v>52</v>
      </c>
      <c r="F401" t="s">
        <v>53</v>
      </c>
      <c r="G401" t="s">
        <v>27</v>
      </c>
      <c r="H401" t="s">
        <v>68</v>
      </c>
      <c r="I401">
        <v>2</v>
      </c>
      <c r="J401" s="3">
        <v>16573.37</v>
      </c>
      <c r="K401" s="3">
        <v>33146.74</v>
      </c>
      <c r="L401" s="3">
        <v>28580.62</v>
      </c>
      <c r="M401" s="3">
        <v>4566.12</v>
      </c>
      <c r="N401" t="s">
        <v>44</v>
      </c>
    </row>
    <row r="402" spans="1:14" x14ac:dyDescent="0.3">
      <c r="A402" t="s">
        <v>505</v>
      </c>
      <c r="B402" s="2">
        <v>45639</v>
      </c>
      <c r="C402" t="s">
        <v>89</v>
      </c>
      <c r="D402" t="s">
        <v>24</v>
      </c>
      <c r="E402" t="s">
        <v>32</v>
      </c>
      <c r="F402" t="s">
        <v>33</v>
      </c>
      <c r="G402" t="s">
        <v>19</v>
      </c>
      <c r="H402" t="s">
        <v>171</v>
      </c>
      <c r="I402">
        <v>5</v>
      </c>
      <c r="J402" s="3">
        <v>3804.21</v>
      </c>
      <c r="K402" s="3">
        <v>19021.05</v>
      </c>
      <c r="L402" s="3">
        <v>15538.16</v>
      </c>
      <c r="M402" s="3">
        <v>3482.89</v>
      </c>
      <c r="N402" t="s">
        <v>54</v>
      </c>
    </row>
    <row r="403" spans="1:14" x14ac:dyDescent="0.3">
      <c r="A403" t="s">
        <v>506</v>
      </c>
      <c r="B403" s="2">
        <v>45541</v>
      </c>
      <c r="C403" t="s">
        <v>139</v>
      </c>
      <c r="D403" t="s">
        <v>16</v>
      </c>
      <c r="E403" t="s">
        <v>47</v>
      </c>
      <c r="F403" t="s">
        <v>48</v>
      </c>
      <c r="G403" t="s">
        <v>34</v>
      </c>
      <c r="H403" t="s">
        <v>87</v>
      </c>
      <c r="I403">
        <v>3</v>
      </c>
      <c r="J403" s="3">
        <v>721.7</v>
      </c>
      <c r="K403" s="3">
        <v>2165.1</v>
      </c>
      <c r="L403" s="3">
        <v>1477.62</v>
      </c>
      <c r="M403" s="3">
        <v>687.48</v>
      </c>
      <c r="N403" t="s">
        <v>29</v>
      </c>
    </row>
    <row r="404" spans="1:14" x14ac:dyDescent="0.3">
      <c r="A404" t="s">
        <v>507</v>
      </c>
      <c r="B404" s="2">
        <v>45587</v>
      </c>
      <c r="C404" t="s">
        <v>122</v>
      </c>
      <c r="D404" t="s">
        <v>39</v>
      </c>
      <c r="E404" t="s">
        <v>97</v>
      </c>
      <c r="F404" t="s">
        <v>98</v>
      </c>
      <c r="G404" t="s">
        <v>34</v>
      </c>
      <c r="H404" t="s">
        <v>94</v>
      </c>
      <c r="I404">
        <v>1</v>
      </c>
      <c r="J404" s="3">
        <v>1381.2</v>
      </c>
      <c r="K404" s="3">
        <v>1381.2</v>
      </c>
      <c r="L404" s="3">
        <v>1139.95</v>
      </c>
      <c r="M404" s="3">
        <v>241.25</v>
      </c>
      <c r="N404" t="s">
        <v>36</v>
      </c>
    </row>
    <row r="405" spans="1:14" x14ac:dyDescent="0.3">
      <c r="A405" t="s">
        <v>508</v>
      </c>
      <c r="B405" s="2">
        <v>45631</v>
      </c>
      <c r="C405" t="s">
        <v>144</v>
      </c>
      <c r="D405" t="s">
        <v>24</v>
      </c>
      <c r="E405" t="s">
        <v>32</v>
      </c>
      <c r="F405" t="s">
        <v>33</v>
      </c>
      <c r="G405" t="s">
        <v>82</v>
      </c>
      <c r="H405" t="s">
        <v>200</v>
      </c>
      <c r="I405">
        <v>5</v>
      </c>
      <c r="J405" s="3">
        <v>1639.64</v>
      </c>
      <c r="K405" s="3">
        <v>8198.2000000000007</v>
      </c>
      <c r="L405" s="3">
        <v>6629.72</v>
      </c>
      <c r="M405" s="3">
        <v>1568.48</v>
      </c>
      <c r="N405" t="s">
        <v>44</v>
      </c>
    </row>
    <row r="406" spans="1:14" x14ac:dyDescent="0.3">
      <c r="A406" t="s">
        <v>509</v>
      </c>
      <c r="B406" s="2">
        <v>45532</v>
      </c>
      <c r="C406" t="s">
        <v>269</v>
      </c>
      <c r="D406" t="s">
        <v>24</v>
      </c>
      <c r="E406" t="s">
        <v>32</v>
      </c>
      <c r="F406" t="s">
        <v>33</v>
      </c>
      <c r="G406" t="s">
        <v>27</v>
      </c>
      <c r="H406" t="s">
        <v>61</v>
      </c>
      <c r="I406">
        <v>3</v>
      </c>
      <c r="J406" s="3">
        <v>4266.8</v>
      </c>
      <c r="K406" s="3">
        <v>12800.4</v>
      </c>
      <c r="L406" s="3">
        <v>11187.92</v>
      </c>
      <c r="M406" s="3">
        <v>1612.48</v>
      </c>
      <c r="N406" t="s">
        <v>44</v>
      </c>
    </row>
    <row r="407" spans="1:14" x14ac:dyDescent="0.3">
      <c r="A407" t="s">
        <v>510</v>
      </c>
      <c r="B407" s="2">
        <v>45406</v>
      </c>
      <c r="C407" t="s">
        <v>56</v>
      </c>
      <c r="D407" t="s">
        <v>24</v>
      </c>
      <c r="E407" t="s">
        <v>47</v>
      </c>
      <c r="F407" t="s">
        <v>73</v>
      </c>
      <c r="G407" t="s">
        <v>82</v>
      </c>
      <c r="H407" t="s">
        <v>126</v>
      </c>
      <c r="I407">
        <v>4</v>
      </c>
      <c r="J407" s="3">
        <v>444.98</v>
      </c>
      <c r="K407" s="3">
        <v>1779.92</v>
      </c>
      <c r="L407" s="3">
        <v>1414.34</v>
      </c>
      <c r="M407" s="3">
        <v>365.58</v>
      </c>
      <c r="N407" t="s">
        <v>54</v>
      </c>
    </row>
    <row r="408" spans="1:14" x14ac:dyDescent="0.3">
      <c r="A408" t="s">
        <v>511</v>
      </c>
      <c r="B408" s="2">
        <v>45520</v>
      </c>
      <c r="C408" t="s">
        <v>15</v>
      </c>
      <c r="D408" t="s">
        <v>65</v>
      </c>
      <c r="E408" t="s">
        <v>66</v>
      </c>
      <c r="F408" t="s">
        <v>67</v>
      </c>
      <c r="G408" t="s">
        <v>42</v>
      </c>
      <c r="H408" t="s">
        <v>120</v>
      </c>
      <c r="I408">
        <v>1</v>
      </c>
      <c r="J408" s="3">
        <v>2157.5100000000002</v>
      </c>
      <c r="K408" s="3">
        <v>2157.5100000000002</v>
      </c>
      <c r="L408" s="3">
        <v>1482.57</v>
      </c>
      <c r="M408" s="3">
        <v>674.94</v>
      </c>
      <c r="N408" t="s">
        <v>21</v>
      </c>
    </row>
    <row r="409" spans="1:14" x14ac:dyDescent="0.3">
      <c r="A409" t="s">
        <v>512</v>
      </c>
      <c r="B409" s="2">
        <v>45338</v>
      </c>
      <c r="C409" t="s">
        <v>134</v>
      </c>
      <c r="D409" t="s">
        <v>65</v>
      </c>
      <c r="E409" t="s">
        <v>123</v>
      </c>
      <c r="F409" t="s">
        <v>124</v>
      </c>
      <c r="G409" t="s">
        <v>19</v>
      </c>
      <c r="H409" t="s">
        <v>77</v>
      </c>
      <c r="I409">
        <v>3</v>
      </c>
      <c r="J409" s="3">
        <v>1167.2</v>
      </c>
      <c r="K409" s="3">
        <v>3501.6</v>
      </c>
      <c r="L409" s="3">
        <v>2419.1</v>
      </c>
      <c r="M409" s="3">
        <v>1082.5</v>
      </c>
      <c r="N409" t="s">
        <v>54</v>
      </c>
    </row>
    <row r="410" spans="1:14" x14ac:dyDescent="0.3">
      <c r="A410" t="s">
        <v>513</v>
      </c>
      <c r="B410" s="2">
        <v>45461</v>
      </c>
      <c r="C410" t="s">
        <v>93</v>
      </c>
      <c r="D410" t="s">
        <v>24</v>
      </c>
      <c r="E410" t="s">
        <v>57</v>
      </c>
      <c r="F410" t="s">
        <v>58</v>
      </c>
      <c r="G410" t="s">
        <v>19</v>
      </c>
      <c r="H410" t="s">
        <v>147</v>
      </c>
      <c r="I410">
        <v>1</v>
      </c>
      <c r="J410" s="3">
        <v>2945.22</v>
      </c>
      <c r="K410" s="3">
        <v>2945.22</v>
      </c>
      <c r="L410" s="3">
        <v>2133.37</v>
      </c>
      <c r="M410" s="3">
        <v>811.85</v>
      </c>
      <c r="N410" t="s">
        <v>36</v>
      </c>
    </row>
    <row r="411" spans="1:14" x14ac:dyDescent="0.3">
      <c r="A411" t="s">
        <v>514</v>
      </c>
      <c r="B411" s="2">
        <v>45616</v>
      </c>
      <c r="C411" t="s">
        <v>31</v>
      </c>
      <c r="D411" t="s">
        <v>65</v>
      </c>
      <c r="E411" t="s">
        <v>113</v>
      </c>
      <c r="F411" t="s">
        <v>114</v>
      </c>
      <c r="G411" t="s">
        <v>19</v>
      </c>
      <c r="H411" t="s">
        <v>147</v>
      </c>
      <c r="I411">
        <v>2</v>
      </c>
      <c r="J411" s="3">
        <v>2795.76</v>
      </c>
      <c r="K411" s="3">
        <v>5591.52</v>
      </c>
      <c r="L411" s="3">
        <v>4721.3</v>
      </c>
      <c r="M411" s="3">
        <v>870.22</v>
      </c>
      <c r="N411" t="s">
        <v>21</v>
      </c>
    </row>
    <row r="412" spans="1:14" x14ac:dyDescent="0.3">
      <c r="A412" t="s">
        <v>515</v>
      </c>
      <c r="B412" s="2">
        <v>45422</v>
      </c>
      <c r="C412" t="s">
        <v>93</v>
      </c>
      <c r="D412" t="s">
        <v>39</v>
      </c>
      <c r="E412" t="s">
        <v>40</v>
      </c>
      <c r="F412" t="s">
        <v>41</v>
      </c>
      <c r="G412" t="s">
        <v>27</v>
      </c>
      <c r="H412" t="s">
        <v>61</v>
      </c>
      <c r="I412">
        <v>2</v>
      </c>
      <c r="J412" s="3">
        <v>4461.34</v>
      </c>
      <c r="K412" s="3">
        <v>8922.68</v>
      </c>
      <c r="L412" s="3">
        <v>7461.9</v>
      </c>
      <c r="M412" s="3">
        <v>1460.78</v>
      </c>
      <c r="N412" t="s">
        <v>21</v>
      </c>
    </row>
    <row r="413" spans="1:14" x14ac:dyDescent="0.3">
      <c r="A413" t="s">
        <v>516</v>
      </c>
      <c r="B413" s="2">
        <v>45504</v>
      </c>
      <c r="C413" t="s">
        <v>89</v>
      </c>
      <c r="D413" t="s">
        <v>16</v>
      </c>
      <c r="E413" t="s">
        <v>17</v>
      </c>
      <c r="F413" t="s">
        <v>18</v>
      </c>
      <c r="G413" t="s">
        <v>82</v>
      </c>
      <c r="H413" t="s">
        <v>135</v>
      </c>
      <c r="I413">
        <v>4</v>
      </c>
      <c r="J413" s="3">
        <v>567.42999999999995</v>
      </c>
      <c r="K413" s="3">
        <v>2269.7199999999998</v>
      </c>
      <c r="L413" s="3">
        <v>1977.47</v>
      </c>
      <c r="M413" s="3">
        <v>292.25</v>
      </c>
      <c r="N413" t="s">
        <v>54</v>
      </c>
    </row>
    <row r="414" spans="1:14" x14ac:dyDescent="0.3">
      <c r="A414" t="s">
        <v>517</v>
      </c>
      <c r="B414" s="2">
        <v>45294</v>
      </c>
      <c r="C414" t="s">
        <v>64</v>
      </c>
      <c r="D414" t="s">
        <v>16</v>
      </c>
      <c r="E414" t="s">
        <v>47</v>
      </c>
      <c r="F414" t="s">
        <v>48</v>
      </c>
      <c r="G414" t="s">
        <v>82</v>
      </c>
      <c r="H414" t="s">
        <v>135</v>
      </c>
      <c r="I414">
        <v>5</v>
      </c>
      <c r="J414" s="3">
        <v>580.91999999999996</v>
      </c>
      <c r="K414" s="3">
        <v>2904.6</v>
      </c>
      <c r="L414" s="3">
        <v>2503.87</v>
      </c>
      <c r="M414" s="3">
        <v>400.73</v>
      </c>
      <c r="N414" t="s">
        <v>62</v>
      </c>
    </row>
    <row r="415" spans="1:14" x14ac:dyDescent="0.3">
      <c r="A415" t="s">
        <v>518</v>
      </c>
      <c r="B415" s="2">
        <v>45357</v>
      </c>
      <c r="C415" t="s">
        <v>46</v>
      </c>
      <c r="D415" t="s">
        <v>16</v>
      </c>
      <c r="E415" t="s">
        <v>47</v>
      </c>
      <c r="F415" t="s">
        <v>48</v>
      </c>
      <c r="G415" t="s">
        <v>19</v>
      </c>
      <c r="H415" t="s">
        <v>151</v>
      </c>
      <c r="I415">
        <v>3</v>
      </c>
      <c r="J415" s="3">
        <v>600.49</v>
      </c>
      <c r="K415" s="3">
        <v>1801.47</v>
      </c>
      <c r="L415" s="3">
        <v>1363.59</v>
      </c>
      <c r="M415" s="3">
        <v>437.88</v>
      </c>
      <c r="N415" t="s">
        <v>29</v>
      </c>
    </row>
    <row r="416" spans="1:14" x14ac:dyDescent="0.3">
      <c r="A416" t="s">
        <v>519</v>
      </c>
      <c r="B416" s="2">
        <v>45419</v>
      </c>
      <c r="C416" t="s">
        <v>46</v>
      </c>
      <c r="D416" t="s">
        <v>65</v>
      </c>
      <c r="E416" t="s">
        <v>131</v>
      </c>
      <c r="F416" t="s">
        <v>132</v>
      </c>
      <c r="G416" t="s">
        <v>42</v>
      </c>
      <c r="H416" t="s">
        <v>43</v>
      </c>
      <c r="I416">
        <v>4</v>
      </c>
      <c r="J416" s="3">
        <v>2970.69</v>
      </c>
      <c r="K416" s="3">
        <v>11882.76</v>
      </c>
      <c r="L416" s="3">
        <v>8408.67</v>
      </c>
      <c r="M416" s="3">
        <v>3474.09</v>
      </c>
      <c r="N416" t="s">
        <v>29</v>
      </c>
    </row>
    <row r="417" spans="1:14" x14ac:dyDescent="0.3">
      <c r="A417" t="s">
        <v>520</v>
      </c>
      <c r="B417" s="2">
        <v>45554</v>
      </c>
      <c r="C417" t="s">
        <v>86</v>
      </c>
      <c r="D417" t="s">
        <v>65</v>
      </c>
      <c r="E417" t="s">
        <v>113</v>
      </c>
      <c r="F417" t="s">
        <v>114</v>
      </c>
      <c r="G417" t="s">
        <v>19</v>
      </c>
      <c r="H417" t="s">
        <v>151</v>
      </c>
      <c r="I417">
        <v>6</v>
      </c>
      <c r="J417" s="3">
        <v>566.08000000000004</v>
      </c>
      <c r="K417" s="3">
        <v>3396.48</v>
      </c>
      <c r="L417" s="3">
        <v>2452.06</v>
      </c>
      <c r="M417" s="3">
        <v>944.42</v>
      </c>
      <c r="N417" t="s">
        <v>29</v>
      </c>
    </row>
    <row r="418" spans="1:14" x14ac:dyDescent="0.3">
      <c r="A418" t="s">
        <v>521</v>
      </c>
      <c r="B418" s="2">
        <v>45468</v>
      </c>
      <c r="C418" t="s">
        <v>122</v>
      </c>
      <c r="D418" t="s">
        <v>39</v>
      </c>
      <c r="E418" t="s">
        <v>40</v>
      </c>
      <c r="F418" t="s">
        <v>41</v>
      </c>
      <c r="G418" t="s">
        <v>34</v>
      </c>
      <c r="H418" t="s">
        <v>35</v>
      </c>
      <c r="I418">
        <v>6</v>
      </c>
      <c r="J418" s="3">
        <v>2307.6999999999998</v>
      </c>
      <c r="K418" s="3">
        <v>13846.2</v>
      </c>
      <c r="L418" s="3">
        <v>10390.85</v>
      </c>
      <c r="M418" s="3">
        <v>3455.35</v>
      </c>
      <c r="N418" t="s">
        <v>44</v>
      </c>
    </row>
    <row r="419" spans="1:14" x14ac:dyDescent="0.3">
      <c r="A419" t="s">
        <v>522</v>
      </c>
      <c r="B419" s="2">
        <v>45584</v>
      </c>
      <c r="C419" t="s">
        <v>89</v>
      </c>
      <c r="D419" t="s">
        <v>24</v>
      </c>
      <c r="E419" t="s">
        <v>57</v>
      </c>
      <c r="F419" t="s">
        <v>58</v>
      </c>
      <c r="G419" t="s">
        <v>82</v>
      </c>
      <c r="H419" t="s">
        <v>135</v>
      </c>
      <c r="I419">
        <v>1</v>
      </c>
      <c r="J419" s="3">
        <v>552.5</v>
      </c>
      <c r="K419" s="3">
        <v>552.5</v>
      </c>
      <c r="L419" s="3">
        <v>378.49</v>
      </c>
      <c r="M419" s="3">
        <v>174.01</v>
      </c>
      <c r="N419" t="s">
        <v>21</v>
      </c>
    </row>
    <row r="420" spans="1:14" x14ac:dyDescent="0.3">
      <c r="A420" t="s">
        <v>523</v>
      </c>
      <c r="B420" s="2">
        <v>45635</v>
      </c>
      <c r="C420" t="s">
        <v>269</v>
      </c>
      <c r="D420" t="s">
        <v>16</v>
      </c>
      <c r="E420" t="s">
        <v>117</v>
      </c>
      <c r="F420" t="s">
        <v>118</v>
      </c>
      <c r="G420" t="s">
        <v>27</v>
      </c>
      <c r="H420" t="s">
        <v>28</v>
      </c>
      <c r="I420">
        <v>3</v>
      </c>
      <c r="J420" s="3">
        <v>57017.29</v>
      </c>
      <c r="K420" s="3">
        <v>171051.87</v>
      </c>
      <c r="L420" s="3">
        <v>121324.64</v>
      </c>
      <c r="M420" s="3">
        <v>49727.23</v>
      </c>
      <c r="N420" t="s">
        <v>29</v>
      </c>
    </row>
    <row r="421" spans="1:14" x14ac:dyDescent="0.3">
      <c r="A421" t="s">
        <v>524</v>
      </c>
      <c r="B421" s="2">
        <v>45443</v>
      </c>
      <c r="C421" t="s">
        <v>15</v>
      </c>
      <c r="D421" t="s">
        <v>39</v>
      </c>
      <c r="E421" t="s">
        <v>52</v>
      </c>
      <c r="F421" t="s">
        <v>53</v>
      </c>
      <c r="G421" t="s">
        <v>34</v>
      </c>
      <c r="H421" t="s">
        <v>49</v>
      </c>
      <c r="I421">
        <v>1</v>
      </c>
      <c r="J421" s="3">
        <v>3274.31</v>
      </c>
      <c r="K421" s="3">
        <v>3274.31</v>
      </c>
      <c r="L421" s="3">
        <v>2668.91</v>
      </c>
      <c r="M421" s="3">
        <v>605.4</v>
      </c>
      <c r="N421" t="s">
        <v>62</v>
      </c>
    </row>
    <row r="422" spans="1:14" x14ac:dyDescent="0.3">
      <c r="A422" t="s">
        <v>525</v>
      </c>
      <c r="B422" s="2">
        <v>45623</v>
      </c>
      <c r="C422" t="s">
        <v>105</v>
      </c>
      <c r="D422" t="s">
        <v>24</v>
      </c>
      <c r="E422" t="s">
        <v>32</v>
      </c>
      <c r="F422" t="s">
        <v>33</v>
      </c>
      <c r="G422" t="s">
        <v>34</v>
      </c>
      <c r="H422" t="s">
        <v>35</v>
      </c>
      <c r="I422">
        <v>6</v>
      </c>
      <c r="J422" s="3">
        <v>2582.25</v>
      </c>
      <c r="K422" s="3">
        <v>15493.5</v>
      </c>
      <c r="L422" s="3">
        <v>13406.48</v>
      </c>
      <c r="M422" s="3">
        <v>2087.02</v>
      </c>
      <c r="N422" t="s">
        <v>54</v>
      </c>
    </row>
    <row r="423" spans="1:14" x14ac:dyDescent="0.3">
      <c r="A423" t="s">
        <v>526</v>
      </c>
      <c r="B423" s="2">
        <v>45642</v>
      </c>
      <c r="C423" t="s">
        <v>102</v>
      </c>
      <c r="D423" t="s">
        <v>65</v>
      </c>
      <c r="E423" t="s">
        <v>66</v>
      </c>
      <c r="F423" t="s">
        <v>67</v>
      </c>
      <c r="G423" t="s">
        <v>27</v>
      </c>
      <c r="H423" t="s">
        <v>59</v>
      </c>
      <c r="I423">
        <v>2</v>
      </c>
      <c r="J423" s="3">
        <v>2560.2800000000002</v>
      </c>
      <c r="K423" s="3">
        <v>5120.5600000000004</v>
      </c>
      <c r="L423" s="3">
        <v>4281.74</v>
      </c>
      <c r="M423" s="3">
        <v>838.82</v>
      </c>
      <c r="N423" t="s">
        <v>62</v>
      </c>
    </row>
    <row r="424" spans="1:14" x14ac:dyDescent="0.3">
      <c r="A424" t="s">
        <v>527</v>
      </c>
      <c r="B424" s="2">
        <v>45616</v>
      </c>
      <c r="C424" t="s">
        <v>56</v>
      </c>
      <c r="D424" t="s">
        <v>65</v>
      </c>
      <c r="E424" t="s">
        <v>123</v>
      </c>
      <c r="F424" t="s">
        <v>124</v>
      </c>
      <c r="G424" t="s">
        <v>82</v>
      </c>
      <c r="H424" t="s">
        <v>100</v>
      </c>
      <c r="I424">
        <v>3</v>
      </c>
      <c r="J424" s="3">
        <v>890.79</v>
      </c>
      <c r="K424" s="3">
        <v>2672.37</v>
      </c>
      <c r="L424" s="3">
        <v>2342.84</v>
      </c>
      <c r="M424" s="3">
        <v>329.53</v>
      </c>
      <c r="N424" t="s">
        <v>62</v>
      </c>
    </row>
    <row r="425" spans="1:14" x14ac:dyDescent="0.3">
      <c r="A425" t="s">
        <v>528</v>
      </c>
      <c r="B425" s="2">
        <v>45380</v>
      </c>
      <c r="C425" t="s">
        <v>76</v>
      </c>
      <c r="D425" t="s">
        <v>16</v>
      </c>
      <c r="E425" t="s">
        <v>47</v>
      </c>
      <c r="F425" t="s">
        <v>48</v>
      </c>
      <c r="G425" t="s">
        <v>27</v>
      </c>
      <c r="H425" t="s">
        <v>59</v>
      </c>
      <c r="I425">
        <v>5</v>
      </c>
      <c r="J425" s="3">
        <v>2382.12</v>
      </c>
      <c r="K425" s="3">
        <v>11910.6</v>
      </c>
      <c r="L425" s="3">
        <v>8482.56</v>
      </c>
      <c r="M425" s="3">
        <v>3428.04</v>
      </c>
      <c r="N425" t="s">
        <v>21</v>
      </c>
    </row>
    <row r="426" spans="1:14" x14ac:dyDescent="0.3">
      <c r="A426" t="s">
        <v>529</v>
      </c>
      <c r="B426" s="2">
        <v>45461</v>
      </c>
      <c r="C426" t="s">
        <v>46</v>
      </c>
      <c r="D426" t="s">
        <v>24</v>
      </c>
      <c r="E426" t="s">
        <v>32</v>
      </c>
      <c r="F426" t="s">
        <v>33</v>
      </c>
      <c r="G426" t="s">
        <v>27</v>
      </c>
      <c r="H426" t="s">
        <v>59</v>
      </c>
      <c r="I426">
        <v>5</v>
      </c>
      <c r="J426" s="3">
        <v>2275.4299999999998</v>
      </c>
      <c r="K426" s="3">
        <v>11377.15</v>
      </c>
      <c r="L426" s="3">
        <v>9858.0300000000007</v>
      </c>
      <c r="M426" s="3">
        <v>1519.12</v>
      </c>
      <c r="N426" t="s">
        <v>29</v>
      </c>
    </row>
    <row r="427" spans="1:14" x14ac:dyDescent="0.3">
      <c r="A427" t="s">
        <v>530</v>
      </c>
      <c r="B427" s="2">
        <v>45446</v>
      </c>
      <c r="C427" t="s">
        <v>56</v>
      </c>
      <c r="D427" t="s">
        <v>24</v>
      </c>
      <c r="E427" t="s">
        <v>57</v>
      </c>
      <c r="F427" t="s">
        <v>58</v>
      </c>
      <c r="G427" t="s">
        <v>27</v>
      </c>
      <c r="H427" t="s">
        <v>59</v>
      </c>
      <c r="I427">
        <v>5</v>
      </c>
      <c r="J427" s="3">
        <v>2359.98</v>
      </c>
      <c r="K427" s="3">
        <v>11799.9</v>
      </c>
      <c r="L427" s="3">
        <v>8457.86</v>
      </c>
      <c r="M427" s="3">
        <v>3342.04</v>
      </c>
      <c r="N427" t="s">
        <v>44</v>
      </c>
    </row>
    <row r="428" spans="1:14" x14ac:dyDescent="0.3">
      <c r="A428" t="s">
        <v>531</v>
      </c>
      <c r="B428" s="2">
        <v>45373</v>
      </c>
      <c r="C428" t="s">
        <v>86</v>
      </c>
      <c r="D428" t="s">
        <v>24</v>
      </c>
      <c r="E428" t="s">
        <v>47</v>
      </c>
      <c r="F428" t="s">
        <v>73</v>
      </c>
      <c r="G428" t="s">
        <v>27</v>
      </c>
      <c r="H428" t="s">
        <v>28</v>
      </c>
      <c r="I428">
        <v>2</v>
      </c>
      <c r="J428" s="3">
        <v>56796.68</v>
      </c>
      <c r="K428" s="3">
        <v>113593.36</v>
      </c>
      <c r="L428" s="3">
        <v>84764.88</v>
      </c>
      <c r="M428" s="3">
        <v>28828.48</v>
      </c>
      <c r="N428" t="s">
        <v>62</v>
      </c>
    </row>
    <row r="429" spans="1:14" x14ac:dyDescent="0.3">
      <c r="A429" t="s">
        <v>532</v>
      </c>
      <c r="B429" s="2">
        <v>45608</v>
      </c>
      <c r="C429" t="s">
        <v>46</v>
      </c>
      <c r="D429" t="s">
        <v>24</v>
      </c>
      <c r="E429" t="s">
        <v>25</v>
      </c>
      <c r="F429" t="s">
        <v>26</v>
      </c>
      <c r="G429" t="s">
        <v>27</v>
      </c>
      <c r="H429" t="s">
        <v>59</v>
      </c>
      <c r="I429">
        <v>4</v>
      </c>
      <c r="J429" s="3">
        <v>2370.17</v>
      </c>
      <c r="K429" s="3">
        <v>9480.68</v>
      </c>
      <c r="L429" s="3">
        <v>7664.68</v>
      </c>
      <c r="M429" s="3">
        <v>1816</v>
      </c>
      <c r="N429" t="s">
        <v>62</v>
      </c>
    </row>
    <row r="430" spans="1:14" x14ac:dyDescent="0.3">
      <c r="A430" t="s">
        <v>533</v>
      </c>
      <c r="B430" s="2">
        <v>45312</v>
      </c>
      <c r="C430" t="s">
        <v>79</v>
      </c>
      <c r="D430" t="s">
        <v>65</v>
      </c>
      <c r="E430" t="s">
        <v>131</v>
      </c>
      <c r="F430" t="s">
        <v>132</v>
      </c>
      <c r="G430" t="s">
        <v>42</v>
      </c>
      <c r="H430" t="s">
        <v>120</v>
      </c>
      <c r="I430">
        <v>4</v>
      </c>
      <c r="J430" s="3">
        <v>2092.9</v>
      </c>
      <c r="K430" s="3">
        <v>8371.6</v>
      </c>
      <c r="L430" s="3">
        <v>6904.85</v>
      </c>
      <c r="M430" s="3">
        <v>1466.75</v>
      </c>
      <c r="N430" t="s">
        <v>44</v>
      </c>
    </row>
    <row r="431" spans="1:14" x14ac:dyDescent="0.3">
      <c r="A431" t="s">
        <v>534</v>
      </c>
      <c r="B431" s="2">
        <v>45483</v>
      </c>
      <c r="C431" t="s">
        <v>144</v>
      </c>
      <c r="D431" t="s">
        <v>24</v>
      </c>
      <c r="E431" t="s">
        <v>47</v>
      </c>
      <c r="F431" t="s">
        <v>73</v>
      </c>
      <c r="G431" t="s">
        <v>27</v>
      </c>
      <c r="H431" t="s">
        <v>28</v>
      </c>
      <c r="I431">
        <v>3</v>
      </c>
      <c r="J431" s="3">
        <v>55152.84</v>
      </c>
      <c r="K431" s="3">
        <v>165458.51999999999</v>
      </c>
      <c r="L431" s="3">
        <v>143889.74</v>
      </c>
      <c r="M431" s="3">
        <v>21568.78</v>
      </c>
      <c r="N431" t="s">
        <v>44</v>
      </c>
    </row>
    <row r="432" spans="1:14" x14ac:dyDescent="0.3">
      <c r="A432" t="s">
        <v>535</v>
      </c>
      <c r="B432" s="2">
        <v>45565</v>
      </c>
      <c r="C432" t="s">
        <v>15</v>
      </c>
      <c r="D432" t="s">
        <v>16</v>
      </c>
      <c r="E432" t="s">
        <v>17</v>
      </c>
      <c r="F432" t="s">
        <v>18</v>
      </c>
      <c r="G432" t="s">
        <v>27</v>
      </c>
      <c r="H432" t="s">
        <v>28</v>
      </c>
      <c r="I432">
        <v>6</v>
      </c>
      <c r="J432" s="3">
        <v>54166.3</v>
      </c>
      <c r="K432" s="3">
        <v>324997.8</v>
      </c>
      <c r="L432" s="3">
        <v>227753.7</v>
      </c>
      <c r="M432" s="3">
        <v>97244.1</v>
      </c>
      <c r="N432" t="s">
        <v>29</v>
      </c>
    </row>
    <row r="433" spans="1:14" x14ac:dyDescent="0.3">
      <c r="A433" t="s">
        <v>536</v>
      </c>
      <c r="B433" s="2">
        <v>45514</v>
      </c>
      <c r="C433" t="s">
        <v>76</v>
      </c>
      <c r="D433" t="s">
        <v>16</v>
      </c>
      <c r="E433" t="s">
        <v>117</v>
      </c>
      <c r="F433" t="s">
        <v>118</v>
      </c>
      <c r="G433" t="s">
        <v>27</v>
      </c>
      <c r="H433" t="s">
        <v>59</v>
      </c>
      <c r="I433">
        <v>1</v>
      </c>
      <c r="J433" s="3">
        <v>2293.7600000000002</v>
      </c>
      <c r="K433" s="3">
        <v>2293.7600000000002</v>
      </c>
      <c r="L433" s="3">
        <v>1584.65</v>
      </c>
      <c r="M433" s="3">
        <v>709.11</v>
      </c>
      <c r="N433" t="s">
        <v>44</v>
      </c>
    </row>
    <row r="434" spans="1:14" x14ac:dyDescent="0.3">
      <c r="A434" t="s">
        <v>537</v>
      </c>
      <c r="B434" s="2">
        <v>45328</v>
      </c>
      <c r="C434" t="s">
        <v>105</v>
      </c>
      <c r="D434" t="s">
        <v>39</v>
      </c>
      <c r="E434" t="s">
        <v>97</v>
      </c>
      <c r="F434" t="s">
        <v>98</v>
      </c>
      <c r="G434" t="s">
        <v>34</v>
      </c>
      <c r="H434" t="s">
        <v>49</v>
      </c>
      <c r="I434">
        <v>6</v>
      </c>
      <c r="J434" s="3">
        <v>3138.85</v>
      </c>
      <c r="K434" s="3">
        <v>18833.099999999999</v>
      </c>
      <c r="L434" s="3">
        <v>13998.28</v>
      </c>
      <c r="M434" s="3">
        <v>4834.82</v>
      </c>
      <c r="N434" t="s">
        <v>29</v>
      </c>
    </row>
    <row r="435" spans="1:14" x14ac:dyDescent="0.3">
      <c r="A435" t="s">
        <v>538</v>
      </c>
      <c r="B435" s="2">
        <v>45352</v>
      </c>
      <c r="C435" t="s">
        <v>139</v>
      </c>
      <c r="D435" t="s">
        <v>16</v>
      </c>
      <c r="E435" t="s">
        <v>17</v>
      </c>
      <c r="F435" t="s">
        <v>18</v>
      </c>
      <c r="G435" t="s">
        <v>82</v>
      </c>
      <c r="H435" t="s">
        <v>200</v>
      </c>
      <c r="I435">
        <v>1</v>
      </c>
      <c r="J435" s="3">
        <v>1872.32</v>
      </c>
      <c r="K435" s="3">
        <v>1872.32</v>
      </c>
      <c r="L435" s="3">
        <v>1300.3599999999999</v>
      </c>
      <c r="M435" s="3">
        <v>571.96</v>
      </c>
      <c r="N435" t="s">
        <v>21</v>
      </c>
    </row>
    <row r="436" spans="1:14" x14ac:dyDescent="0.3">
      <c r="A436" t="s">
        <v>539</v>
      </c>
      <c r="B436" s="2">
        <v>45440</v>
      </c>
      <c r="C436" t="s">
        <v>122</v>
      </c>
      <c r="D436" t="s">
        <v>65</v>
      </c>
      <c r="E436" t="s">
        <v>66</v>
      </c>
      <c r="F436" t="s">
        <v>67</v>
      </c>
      <c r="G436" t="s">
        <v>27</v>
      </c>
      <c r="H436" t="s">
        <v>61</v>
      </c>
      <c r="I436">
        <v>4</v>
      </c>
      <c r="J436" s="3">
        <v>4405.6000000000004</v>
      </c>
      <c r="K436" s="3">
        <v>17622.400000000001</v>
      </c>
      <c r="L436" s="3">
        <v>14311.94</v>
      </c>
      <c r="M436" s="3">
        <v>3310.46</v>
      </c>
      <c r="N436" t="s">
        <v>62</v>
      </c>
    </row>
    <row r="437" spans="1:14" x14ac:dyDescent="0.3">
      <c r="A437" t="s">
        <v>540</v>
      </c>
      <c r="B437" s="2">
        <v>45565</v>
      </c>
      <c r="C437" t="s">
        <v>38</v>
      </c>
      <c r="D437" t="s">
        <v>39</v>
      </c>
      <c r="E437" t="s">
        <v>40</v>
      </c>
      <c r="F437" t="s">
        <v>41</v>
      </c>
      <c r="G437" t="s">
        <v>19</v>
      </c>
      <c r="H437" t="s">
        <v>151</v>
      </c>
      <c r="I437">
        <v>3</v>
      </c>
      <c r="J437" s="3">
        <v>655.22</v>
      </c>
      <c r="K437" s="3">
        <v>1965.66</v>
      </c>
      <c r="L437" s="3">
        <v>1393.29</v>
      </c>
      <c r="M437" s="3">
        <v>572.37</v>
      </c>
      <c r="N437" t="s">
        <v>21</v>
      </c>
    </row>
    <row r="438" spans="1:14" x14ac:dyDescent="0.3">
      <c r="A438" t="s">
        <v>541</v>
      </c>
      <c r="B438" s="2">
        <v>45575</v>
      </c>
      <c r="C438" t="s">
        <v>56</v>
      </c>
      <c r="D438" t="s">
        <v>39</v>
      </c>
      <c r="E438" t="s">
        <v>52</v>
      </c>
      <c r="F438" t="s">
        <v>53</v>
      </c>
      <c r="G438" t="s">
        <v>27</v>
      </c>
      <c r="H438" t="s">
        <v>91</v>
      </c>
      <c r="I438">
        <v>5</v>
      </c>
      <c r="J438" s="3">
        <v>2936.45</v>
      </c>
      <c r="K438" s="3">
        <v>14682.25</v>
      </c>
      <c r="L438" s="3">
        <v>11591.71</v>
      </c>
      <c r="M438" s="3">
        <v>3090.54</v>
      </c>
      <c r="N438" t="s">
        <v>36</v>
      </c>
    </row>
    <row r="439" spans="1:14" x14ac:dyDescent="0.3">
      <c r="A439" t="s">
        <v>542</v>
      </c>
      <c r="B439" s="2">
        <v>45399</v>
      </c>
      <c r="C439" t="s">
        <v>76</v>
      </c>
      <c r="D439" t="s">
        <v>65</v>
      </c>
      <c r="E439" t="s">
        <v>123</v>
      </c>
      <c r="F439" t="s">
        <v>124</v>
      </c>
      <c r="G439" t="s">
        <v>34</v>
      </c>
      <c r="H439" t="s">
        <v>94</v>
      </c>
      <c r="I439">
        <v>2</v>
      </c>
      <c r="J439" s="3">
        <v>1305.07</v>
      </c>
      <c r="K439" s="3">
        <v>2610.14</v>
      </c>
      <c r="L439" s="3">
        <v>1890.15</v>
      </c>
      <c r="M439" s="3">
        <v>719.99</v>
      </c>
      <c r="N439" t="s">
        <v>62</v>
      </c>
    </row>
    <row r="440" spans="1:14" x14ac:dyDescent="0.3">
      <c r="A440" t="s">
        <v>543</v>
      </c>
      <c r="B440" s="2">
        <v>45350</v>
      </c>
      <c r="C440" t="s">
        <v>56</v>
      </c>
      <c r="D440" t="s">
        <v>39</v>
      </c>
      <c r="E440" t="s">
        <v>52</v>
      </c>
      <c r="F440" t="s">
        <v>53</v>
      </c>
      <c r="G440" t="s">
        <v>82</v>
      </c>
      <c r="H440" t="s">
        <v>200</v>
      </c>
      <c r="I440">
        <v>4</v>
      </c>
      <c r="J440" s="3">
        <v>1852.08</v>
      </c>
      <c r="K440" s="3">
        <v>7408.32</v>
      </c>
      <c r="L440" s="3">
        <v>5146.03</v>
      </c>
      <c r="M440" s="3">
        <v>2262.29</v>
      </c>
      <c r="N440" t="s">
        <v>36</v>
      </c>
    </row>
    <row r="441" spans="1:14" x14ac:dyDescent="0.3">
      <c r="A441" t="s">
        <v>544</v>
      </c>
      <c r="B441" s="2">
        <v>45342</v>
      </c>
      <c r="C441" t="s">
        <v>86</v>
      </c>
      <c r="D441" t="s">
        <v>39</v>
      </c>
      <c r="E441" t="s">
        <v>70</v>
      </c>
      <c r="F441" t="s">
        <v>71</v>
      </c>
      <c r="G441" t="s">
        <v>42</v>
      </c>
      <c r="H441" t="s">
        <v>43</v>
      </c>
      <c r="I441">
        <v>2</v>
      </c>
      <c r="J441" s="3">
        <v>2895.93</v>
      </c>
      <c r="K441" s="3">
        <v>5791.86</v>
      </c>
      <c r="L441" s="3">
        <v>4210.1400000000003</v>
      </c>
      <c r="M441" s="3">
        <v>1581.72</v>
      </c>
      <c r="N441" t="s">
        <v>44</v>
      </c>
    </row>
    <row r="442" spans="1:14" x14ac:dyDescent="0.3">
      <c r="A442" t="s">
        <v>545</v>
      </c>
      <c r="B442" s="2">
        <v>45327</v>
      </c>
      <c r="C442" t="s">
        <v>89</v>
      </c>
      <c r="D442" t="s">
        <v>39</v>
      </c>
      <c r="E442" t="s">
        <v>97</v>
      </c>
      <c r="F442" t="s">
        <v>98</v>
      </c>
      <c r="G442" t="s">
        <v>34</v>
      </c>
      <c r="H442" t="s">
        <v>35</v>
      </c>
      <c r="I442">
        <v>5</v>
      </c>
      <c r="J442" s="3">
        <v>2579.71</v>
      </c>
      <c r="K442" s="3">
        <v>12898.55</v>
      </c>
      <c r="L442" s="3">
        <v>10559.93</v>
      </c>
      <c r="M442" s="3">
        <v>2338.62</v>
      </c>
      <c r="N442" t="s">
        <v>44</v>
      </c>
    </row>
    <row r="443" spans="1:14" x14ac:dyDescent="0.3">
      <c r="A443" t="s">
        <v>546</v>
      </c>
      <c r="B443" s="2">
        <v>45582</v>
      </c>
      <c r="C443" t="s">
        <v>31</v>
      </c>
      <c r="D443" t="s">
        <v>65</v>
      </c>
      <c r="E443" t="s">
        <v>113</v>
      </c>
      <c r="F443" t="s">
        <v>114</v>
      </c>
      <c r="G443" t="s">
        <v>42</v>
      </c>
      <c r="H443" t="s">
        <v>106</v>
      </c>
      <c r="I443">
        <v>1</v>
      </c>
      <c r="J443" s="3">
        <v>866.38</v>
      </c>
      <c r="K443" s="3">
        <v>866.38</v>
      </c>
      <c r="L443" s="3">
        <v>725.27</v>
      </c>
      <c r="M443" s="3">
        <v>141.11000000000001</v>
      </c>
      <c r="N443" t="s">
        <v>36</v>
      </c>
    </row>
    <row r="444" spans="1:14" x14ac:dyDescent="0.3">
      <c r="A444" t="s">
        <v>547</v>
      </c>
      <c r="B444" s="2">
        <v>45476</v>
      </c>
      <c r="C444" t="s">
        <v>15</v>
      </c>
      <c r="D444" t="s">
        <v>39</v>
      </c>
      <c r="E444" t="s">
        <v>97</v>
      </c>
      <c r="F444" t="s">
        <v>98</v>
      </c>
      <c r="G444" t="s">
        <v>82</v>
      </c>
      <c r="H444" t="s">
        <v>135</v>
      </c>
      <c r="I444">
        <v>4</v>
      </c>
      <c r="J444" s="3">
        <v>534.46</v>
      </c>
      <c r="K444" s="3">
        <v>2137.84</v>
      </c>
      <c r="L444" s="3">
        <v>1584.34</v>
      </c>
      <c r="M444" s="3">
        <v>553.5</v>
      </c>
      <c r="N444" t="s">
        <v>21</v>
      </c>
    </row>
    <row r="445" spans="1:14" x14ac:dyDescent="0.3">
      <c r="A445" t="s">
        <v>548</v>
      </c>
      <c r="B445" s="2">
        <v>45381</v>
      </c>
      <c r="C445" t="s">
        <v>56</v>
      </c>
      <c r="D445" t="s">
        <v>16</v>
      </c>
      <c r="E445" t="s">
        <v>80</v>
      </c>
      <c r="F445" t="s">
        <v>81</v>
      </c>
      <c r="G445" t="s">
        <v>82</v>
      </c>
      <c r="H445" t="s">
        <v>100</v>
      </c>
      <c r="I445">
        <v>5</v>
      </c>
      <c r="J445" s="3">
        <v>845.36</v>
      </c>
      <c r="K445" s="3">
        <v>4226.8</v>
      </c>
      <c r="L445" s="3">
        <v>3494.33</v>
      </c>
      <c r="M445" s="3">
        <v>732.47</v>
      </c>
      <c r="N445" t="s">
        <v>29</v>
      </c>
    </row>
    <row r="446" spans="1:14" x14ac:dyDescent="0.3">
      <c r="A446" t="s">
        <v>549</v>
      </c>
      <c r="B446" s="2">
        <v>45330</v>
      </c>
      <c r="C446" t="s">
        <v>269</v>
      </c>
      <c r="D446" t="s">
        <v>16</v>
      </c>
      <c r="E446" t="s">
        <v>17</v>
      </c>
      <c r="F446" t="s">
        <v>18</v>
      </c>
      <c r="G446" t="s">
        <v>82</v>
      </c>
      <c r="H446" t="s">
        <v>200</v>
      </c>
      <c r="I446">
        <v>4</v>
      </c>
      <c r="J446" s="3">
        <v>1896.91</v>
      </c>
      <c r="K446" s="3">
        <v>7587.64</v>
      </c>
      <c r="L446" s="3">
        <v>5482.47</v>
      </c>
      <c r="M446" s="3">
        <v>2105.17</v>
      </c>
      <c r="N446" t="s">
        <v>44</v>
      </c>
    </row>
    <row r="447" spans="1:14" x14ac:dyDescent="0.3">
      <c r="A447" t="s">
        <v>550</v>
      </c>
      <c r="B447" s="2">
        <v>45425</v>
      </c>
      <c r="C447" t="s">
        <v>102</v>
      </c>
      <c r="D447" t="s">
        <v>24</v>
      </c>
      <c r="E447" t="s">
        <v>32</v>
      </c>
      <c r="F447" t="s">
        <v>33</v>
      </c>
      <c r="G447" t="s">
        <v>34</v>
      </c>
      <c r="H447" t="s">
        <v>74</v>
      </c>
      <c r="I447">
        <v>5</v>
      </c>
      <c r="J447" s="3">
        <v>1674.63</v>
      </c>
      <c r="K447" s="3">
        <v>8373.15</v>
      </c>
      <c r="L447" s="3">
        <v>6181.06</v>
      </c>
      <c r="M447" s="3">
        <v>2192.09</v>
      </c>
      <c r="N447" t="s">
        <v>44</v>
      </c>
    </row>
    <row r="448" spans="1:14" x14ac:dyDescent="0.3">
      <c r="A448" t="s">
        <v>551</v>
      </c>
      <c r="B448" s="2">
        <v>45553</v>
      </c>
      <c r="C448" t="s">
        <v>46</v>
      </c>
      <c r="D448" t="s">
        <v>16</v>
      </c>
      <c r="E448" t="s">
        <v>47</v>
      </c>
      <c r="F448" t="s">
        <v>48</v>
      </c>
      <c r="G448" t="s">
        <v>34</v>
      </c>
      <c r="H448" t="s">
        <v>87</v>
      </c>
      <c r="I448">
        <v>6</v>
      </c>
      <c r="J448" s="3">
        <v>663.44</v>
      </c>
      <c r="K448" s="3">
        <v>3980.64</v>
      </c>
      <c r="L448" s="3">
        <v>3474.3</v>
      </c>
      <c r="M448" s="3">
        <v>506.34</v>
      </c>
      <c r="N448" t="s">
        <v>29</v>
      </c>
    </row>
    <row r="449" spans="1:14" x14ac:dyDescent="0.3">
      <c r="A449" t="s">
        <v>552</v>
      </c>
      <c r="B449" s="2">
        <v>45376</v>
      </c>
      <c r="C449" t="s">
        <v>122</v>
      </c>
      <c r="D449" t="s">
        <v>39</v>
      </c>
      <c r="E449" t="s">
        <v>70</v>
      </c>
      <c r="F449" t="s">
        <v>71</v>
      </c>
      <c r="G449" t="s">
        <v>27</v>
      </c>
      <c r="H449" t="s">
        <v>91</v>
      </c>
      <c r="I449">
        <v>5</v>
      </c>
      <c r="J449" s="3">
        <v>3095.65</v>
      </c>
      <c r="K449" s="3">
        <v>15478.25</v>
      </c>
      <c r="L449" s="3">
        <v>13520.98</v>
      </c>
      <c r="M449" s="3">
        <v>1957.27</v>
      </c>
      <c r="N449" t="s">
        <v>36</v>
      </c>
    </row>
    <row r="450" spans="1:14" x14ac:dyDescent="0.3">
      <c r="A450" t="s">
        <v>553</v>
      </c>
      <c r="B450" s="2">
        <v>45312</v>
      </c>
      <c r="C450" t="s">
        <v>139</v>
      </c>
      <c r="D450" t="s">
        <v>39</v>
      </c>
      <c r="E450" t="s">
        <v>70</v>
      </c>
      <c r="F450" t="s">
        <v>71</v>
      </c>
      <c r="G450" t="s">
        <v>27</v>
      </c>
      <c r="H450" t="s">
        <v>59</v>
      </c>
      <c r="I450">
        <v>3</v>
      </c>
      <c r="J450" s="3">
        <v>2367.0100000000002</v>
      </c>
      <c r="K450" s="3">
        <v>7101.03</v>
      </c>
      <c r="L450" s="3">
        <v>5778.23</v>
      </c>
      <c r="M450" s="3">
        <v>1322.8</v>
      </c>
      <c r="N450" t="s">
        <v>36</v>
      </c>
    </row>
    <row r="451" spans="1:14" x14ac:dyDescent="0.3">
      <c r="A451" t="s">
        <v>554</v>
      </c>
      <c r="B451" s="2">
        <v>45490</v>
      </c>
      <c r="C451" t="s">
        <v>139</v>
      </c>
      <c r="D451" t="s">
        <v>24</v>
      </c>
      <c r="E451" t="s">
        <v>47</v>
      </c>
      <c r="F451" t="s">
        <v>73</v>
      </c>
      <c r="G451" t="s">
        <v>82</v>
      </c>
      <c r="H451" t="s">
        <v>126</v>
      </c>
      <c r="I451">
        <v>6</v>
      </c>
      <c r="J451" s="3">
        <v>434.17</v>
      </c>
      <c r="K451" s="3">
        <v>2605.02</v>
      </c>
      <c r="L451" s="3">
        <v>2138.06</v>
      </c>
      <c r="M451" s="3">
        <v>466.96</v>
      </c>
      <c r="N451" t="s">
        <v>29</v>
      </c>
    </row>
    <row r="452" spans="1:14" x14ac:dyDescent="0.3">
      <c r="A452" t="s">
        <v>555</v>
      </c>
      <c r="B452" s="2">
        <v>45432</v>
      </c>
      <c r="C452" t="s">
        <v>56</v>
      </c>
      <c r="D452" t="s">
        <v>65</v>
      </c>
      <c r="E452" t="s">
        <v>123</v>
      </c>
      <c r="F452" t="s">
        <v>124</v>
      </c>
      <c r="G452" t="s">
        <v>34</v>
      </c>
      <c r="H452" t="s">
        <v>49</v>
      </c>
      <c r="I452">
        <v>3</v>
      </c>
      <c r="J452" s="3">
        <v>3256.11</v>
      </c>
      <c r="K452" s="3">
        <v>9768.33</v>
      </c>
      <c r="L452" s="3">
        <v>8397.2999999999993</v>
      </c>
      <c r="M452" s="3">
        <v>1371.03</v>
      </c>
      <c r="N452" t="s">
        <v>44</v>
      </c>
    </row>
    <row r="453" spans="1:14" x14ac:dyDescent="0.3">
      <c r="A453" t="s">
        <v>556</v>
      </c>
      <c r="B453" s="2">
        <v>45420</v>
      </c>
      <c r="C453" t="s">
        <v>46</v>
      </c>
      <c r="D453" t="s">
        <v>24</v>
      </c>
      <c r="E453" t="s">
        <v>32</v>
      </c>
      <c r="F453" t="s">
        <v>33</v>
      </c>
      <c r="G453" t="s">
        <v>34</v>
      </c>
      <c r="H453" t="s">
        <v>35</v>
      </c>
      <c r="I453">
        <v>3</v>
      </c>
      <c r="J453" s="3">
        <v>2493.4299999999998</v>
      </c>
      <c r="K453" s="3">
        <v>7480.29</v>
      </c>
      <c r="L453" s="3">
        <v>5807.86</v>
      </c>
      <c r="M453" s="3">
        <v>1672.43</v>
      </c>
      <c r="N453" t="s">
        <v>21</v>
      </c>
    </row>
    <row r="454" spans="1:14" x14ac:dyDescent="0.3">
      <c r="A454" t="s">
        <v>557</v>
      </c>
      <c r="B454" s="2">
        <v>45548</v>
      </c>
      <c r="C454" t="s">
        <v>144</v>
      </c>
      <c r="D454" t="s">
        <v>39</v>
      </c>
      <c r="E454" t="s">
        <v>70</v>
      </c>
      <c r="F454" t="s">
        <v>71</v>
      </c>
      <c r="G454" t="s">
        <v>27</v>
      </c>
      <c r="H454" t="s">
        <v>68</v>
      </c>
      <c r="I454">
        <v>5</v>
      </c>
      <c r="J454" s="3">
        <v>18516.52</v>
      </c>
      <c r="K454" s="3">
        <v>92582.6</v>
      </c>
      <c r="L454" s="3">
        <v>66872.73</v>
      </c>
      <c r="M454" s="3">
        <v>25709.87</v>
      </c>
      <c r="N454" t="s">
        <v>62</v>
      </c>
    </row>
    <row r="455" spans="1:14" x14ac:dyDescent="0.3">
      <c r="A455" t="s">
        <v>558</v>
      </c>
      <c r="B455" s="2">
        <v>45477</v>
      </c>
      <c r="C455" t="s">
        <v>122</v>
      </c>
      <c r="D455" t="s">
        <v>16</v>
      </c>
      <c r="E455" t="s">
        <v>117</v>
      </c>
      <c r="F455" t="s">
        <v>118</v>
      </c>
      <c r="G455" t="s">
        <v>34</v>
      </c>
      <c r="H455" t="s">
        <v>35</v>
      </c>
      <c r="I455">
        <v>6</v>
      </c>
      <c r="J455" s="3">
        <v>2306.67</v>
      </c>
      <c r="K455" s="3">
        <v>13840.02</v>
      </c>
      <c r="L455" s="3">
        <v>11280.25</v>
      </c>
      <c r="M455" s="3">
        <v>2559.77</v>
      </c>
      <c r="N455" t="s">
        <v>62</v>
      </c>
    </row>
    <row r="456" spans="1:14" x14ac:dyDescent="0.3">
      <c r="A456" t="s">
        <v>559</v>
      </c>
      <c r="B456" s="2">
        <v>45594</v>
      </c>
      <c r="C456" t="s">
        <v>139</v>
      </c>
      <c r="D456" t="s">
        <v>39</v>
      </c>
      <c r="E456" t="s">
        <v>70</v>
      </c>
      <c r="F456" t="s">
        <v>71</v>
      </c>
      <c r="G456" t="s">
        <v>27</v>
      </c>
      <c r="H456" t="s">
        <v>68</v>
      </c>
      <c r="I456">
        <v>2</v>
      </c>
      <c r="J456" s="3">
        <v>18264.55</v>
      </c>
      <c r="K456" s="3">
        <v>36529.1</v>
      </c>
      <c r="L456" s="3">
        <v>26016.97</v>
      </c>
      <c r="M456" s="3">
        <v>10512.13</v>
      </c>
      <c r="N456" t="s">
        <v>21</v>
      </c>
    </row>
    <row r="457" spans="1:14" x14ac:dyDescent="0.3">
      <c r="A457" t="s">
        <v>560</v>
      </c>
      <c r="B457" s="2">
        <v>45585</v>
      </c>
      <c r="C457" t="s">
        <v>64</v>
      </c>
      <c r="D457" t="s">
        <v>39</v>
      </c>
      <c r="E457" t="s">
        <v>52</v>
      </c>
      <c r="F457" t="s">
        <v>53</v>
      </c>
      <c r="G457" t="s">
        <v>27</v>
      </c>
      <c r="H457" t="s">
        <v>28</v>
      </c>
      <c r="I457">
        <v>5</v>
      </c>
      <c r="J457" s="3">
        <v>60040.62</v>
      </c>
      <c r="K457" s="3">
        <v>300203.09999999998</v>
      </c>
      <c r="L457" s="3">
        <v>240123.91</v>
      </c>
      <c r="M457" s="3">
        <v>60079.19</v>
      </c>
      <c r="N457" t="s">
        <v>29</v>
      </c>
    </row>
    <row r="458" spans="1:14" x14ac:dyDescent="0.3">
      <c r="A458" t="s">
        <v>561</v>
      </c>
      <c r="B458" s="2">
        <v>45301</v>
      </c>
      <c r="C458" t="s">
        <v>31</v>
      </c>
      <c r="D458" t="s">
        <v>65</v>
      </c>
      <c r="E458" t="s">
        <v>66</v>
      </c>
      <c r="F458" t="s">
        <v>67</v>
      </c>
      <c r="G458" t="s">
        <v>27</v>
      </c>
      <c r="H458" t="s">
        <v>91</v>
      </c>
      <c r="I458">
        <v>4</v>
      </c>
      <c r="J458" s="3">
        <v>3220.38</v>
      </c>
      <c r="K458" s="3">
        <v>12881.52</v>
      </c>
      <c r="L458" s="3">
        <v>9198.8700000000008</v>
      </c>
      <c r="M458" s="3">
        <v>3682.65</v>
      </c>
      <c r="N458" t="s">
        <v>44</v>
      </c>
    </row>
    <row r="459" spans="1:14" x14ac:dyDescent="0.3">
      <c r="A459" t="s">
        <v>562</v>
      </c>
      <c r="B459" s="2">
        <v>45365</v>
      </c>
      <c r="C459" t="s">
        <v>105</v>
      </c>
      <c r="D459" t="s">
        <v>39</v>
      </c>
      <c r="E459" t="s">
        <v>97</v>
      </c>
      <c r="F459" t="s">
        <v>98</v>
      </c>
      <c r="G459" t="s">
        <v>27</v>
      </c>
      <c r="H459" t="s">
        <v>59</v>
      </c>
      <c r="I459">
        <v>4</v>
      </c>
      <c r="J459" s="3">
        <v>2548.27</v>
      </c>
      <c r="K459" s="3">
        <v>10193.08</v>
      </c>
      <c r="L459" s="3">
        <v>7071.64</v>
      </c>
      <c r="M459" s="3">
        <v>3121.44</v>
      </c>
      <c r="N459" t="s">
        <v>54</v>
      </c>
    </row>
    <row r="460" spans="1:14" x14ac:dyDescent="0.3">
      <c r="A460" t="s">
        <v>563</v>
      </c>
      <c r="B460" s="2">
        <v>45359</v>
      </c>
      <c r="C460" t="s">
        <v>51</v>
      </c>
      <c r="D460" t="s">
        <v>16</v>
      </c>
      <c r="E460" t="s">
        <v>17</v>
      </c>
      <c r="F460" t="s">
        <v>18</v>
      </c>
      <c r="G460" t="s">
        <v>27</v>
      </c>
      <c r="H460" t="s">
        <v>91</v>
      </c>
      <c r="I460">
        <v>6</v>
      </c>
      <c r="J460" s="3">
        <v>2951.88</v>
      </c>
      <c r="K460" s="3">
        <v>17711.28</v>
      </c>
      <c r="L460" s="3">
        <v>12573.45</v>
      </c>
      <c r="M460" s="3">
        <v>5137.83</v>
      </c>
      <c r="N460" t="s">
        <v>62</v>
      </c>
    </row>
    <row r="461" spans="1:14" x14ac:dyDescent="0.3">
      <c r="A461" t="s">
        <v>564</v>
      </c>
      <c r="B461" s="2">
        <v>45535</v>
      </c>
      <c r="C461" t="s">
        <v>31</v>
      </c>
      <c r="D461" t="s">
        <v>16</v>
      </c>
      <c r="E461" t="s">
        <v>17</v>
      </c>
      <c r="F461" t="s">
        <v>18</v>
      </c>
      <c r="G461" t="s">
        <v>27</v>
      </c>
      <c r="H461" t="s">
        <v>28</v>
      </c>
      <c r="I461">
        <v>5</v>
      </c>
      <c r="J461" s="3">
        <v>55432.15</v>
      </c>
      <c r="K461" s="3">
        <v>277160.75</v>
      </c>
      <c r="L461" s="3">
        <v>188535.84</v>
      </c>
      <c r="M461" s="3">
        <v>88624.91</v>
      </c>
      <c r="N461" t="s">
        <v>44</v>
      </c>
    </row>
    <row r="462" spans="1:14" x14ac:dyDescent="0.3">
      <c r="A462" t="s">
        <v>565</v>
      </c>
      <c r="B462" s="2">
        <v>45507</v>
      </c>
      <c r="C462" t="s">
        <v>105</v>
      </c>
      <c r="D462" t="s">
        <v>65</v>
      </c>
      <c r="E462" t="s">
        <v>66</v>
      </c>
      <c r="F462" t="s">
        <v>67</v>
      </c>
      <c r="G462" t="s">
        <v>19</v>
      </c>
      <c r="H462" t="s">
        <v>77</v>
      </c>
      <c r="I462">
        <v>2</v>
      </c>
      <c r="J462" s="3">
        <v>1305.22</v>
      </c>
      <c r="K462" s="3">
        <v>2610.44</v>
      </c>
      <c r="L462" s="3">
        <v>2026.81</v>
      </c>
      <c r="M462" s="3">
        <v>583.63</v>
      </c>
      <c r="N462" t="s">
        <v>36</v>
      </c>
    </row>
    <row r="463" spans="1:14" x14ac:dyDescent="0.3">
      <c r="A463" t="s">
        <v>566</v>
      </c>
      <c r="B463" s="2">
        <v>45593</v>
      </c>
      <c r="C463" t="s">
        <v>46</v>
      </c>
      <c r="D463" t="s">
        <v>16</v>
      </c>
      <c r="E463" t="s">
        <v>47</v>
      </c>
      <c r="F463" t="s">
        <v>48</v>
      </c>
      <c r="G463" t="s">
        <v>27</v>
      </c>
      <c r="H463" t="s">
        <v>61</v>
      </c>
      <c r="I463">
        <v>2</v>
      </c>
      <c r="J463" s="3">
        <v>4869.08</v>
      </c>
      <c r="K463" s="3">
        <v>9738.16</v>
      </c>
      <c r="L463" s="3">
        <v>6785.19</v>
      </c>
      <c r="M463" s="3">
        <v>2952.97</v>
      </c>
      <c r="N463" t="s">
        <v>44</v>
      </c>
    </row>
    <row r="464" spans="1:14" x14ac:dyDescent="0.3">
      <c r="A464" t="s">
        <v>567</v>
      </c>
      <c r="B464" s="2">
        <v>45501</v>
      </c>
      <c r="C464" t="s">
        <v>105</v>
      </c>
      <c r="D464" t="s">
        <v>65</v>
      </c>
      <c r="E464" t="s">
        <v>123</v>
      </c>
      <c r="F464" t="s">
        <v>124</v>
      </c>
      <c r="G464" t="s">
        <v>27</v>
      </c>
      <c r="H464" t="s">
        <v>68</v>
      </c>
      <c r="I464">
        <v>5</v>
      </c>
      <c r="J464" s="3">
        <v>18081.150000000001</v>
      </c>
      <c r="K464" s="3">
        <v>90405.75</v>
      </c>
      <c r="L464" s="3">
        <v>70873.8</v>
      </c>
      <c r="M464" s="3">
        <v>19531.95</v>
      </c>
      <c r="N464" t="s">
        <v>29</v>
      </c>
    </row>
    <row r="465" spans="1:14" x14ac:dyDescent="0.3">
      <c r="A465" t="s">
        <v>568</v>
      </c>
      <c r="B465" s="2">
        <v>45397</v>
      </c>
      <c r="C465" t="s">
        <v>15</v>
      </c>
      <c r="D465" t="s">
        <v>65</v>
      </c>
      <c r="E465" t="s">
        <v>131</v>
      </c>
      <c r="F465" t="s">
        <v>132</v>
      </c>
      <c r="G465" t="s">
        <v>34</v>
      </c>
      <c r="H465" t="s">
        <v>74</v>
      </c>
      <c r="I465">
        <v>4</v>
      </c>
      <c r="J465" s="3">
        <v>1648.5</v>
      </c>
      <c r="K465" s="3">
        <v>6594</v>
      </c>
      <c r="L465" s="3">
        <v>4818.41</v>
      </c>
      <c r="M465" s="3">
        <v>1775.59</v>
      </c>
      <c r="N465" t="s">
        <v>54</v>
      </c>
    </row>
    <row r="466" spans="1:14" x14ac:dyDescent="0.3">
      <c r="A466" t="s">
        <v>569</v>
      </c>
      <c r="B466" s="2">
        <v>45581</v>
      </c>
      <c r="C466" t="s">
        <v>122</v>
      </c>
      <c r="D466" t="s">
        <v>65</v>
      </c>
      <c r="E466" t="s">
        <v>113</v>
      </c>
      <c r="F466" t="s">
        <v>114</v>
      </c>
      <c r="G466" t="s">
        <v>42</v>
      </c>
      <c r="H466" t="s">
        <v>187</v>
      </c>
      <c r="I466">
        <v>2</v>
      </c>
      <c r="J466" s="3">
        <v>835.25</v>
      </c>
      <c r="K466" s="3">
        <v>1670.5</v>
      </c>
      <c r="L466" s="3">
        <v>1397.8</v>
      </c>
      <c r="M466" s="3">
        <v>272.7</v>
      </c>
      <c r="N466" t="s">
        <v>62</v>
      </c>
    </row>
    <row r="467" spans="1:14" x14ac:dyDescent="0.3">
      <c r="A467" t="s">
        <v>570</v>
      </c>
      <c r="B467" s="2">
        <v>45481</v>
      </c>
      <c r="C467" t="s">
        <v>89</v>
      </c>
      <c r="D467" t="s">
        <v>24</v>
      </c>
      <c r="E467" t="s">
        <v>57</v>
      </c>
      <c r="F467" t="s">
        <v>58</v>
      </c>
      <c r="G467" t="s">
        <v>42</v>
      </c>
      <c r="H467" t="s">
        <v>111</v>
      </c>
      <c r="I467">
        <v>3</v>
      </c>
      <c r="J467" s="3">
        <v>1687.74</v>
      </c>
      <c r="K467" s="3">
        <v>5063.22</v>
      </c>
      <c r="L467" s="3">
        <v>3846.15</v>
      </c>
      <c r="M467" s="3">
        <v>1217.07</v>
      </c>
      <c r="N467" t="s">
        <v>29</v>
      </c>
    </row>
    <row r="468" spans="1:14" x14ac:dyDescent="0.3">
      <c r="A468" t="s">
        <v>571</v>
      </c>
      <c r="B468" s="2">
        <v>45352</v>
      </c>
      <c r="C468" t="s">
        <v>93</v>
      </c>
      <c r="D468" t="s">
        <v>39</v>
      </c>
      <c r="E468" t="s">
        <v>70</v>
      </c>
      <c r="F468" t="s">
        <v>71</v>
      </c>
      <c r="G468" t="s">
        <v>82</v>
      </c>
      <c r="H468" t="s">
        <v>100</v>
      </c>
      <c r="I468">
        <v>1</v>
      </c>
      <c r="J468" s="3">
        <v>848.6</v>
      </c>
      <c r="K468" s="3">
        <v>848.6</v>
      </c>
      <c r="L468" s="3">
        <v>645.03</v>
      </c>
      <c r="M468" s="3">
        <v>203.57</v>
      </c>
      <c r="N468" t="s">
        <v>44</v>
      </c>
    </row>
    <row r="469" spans="1:14" x14ac:dyDescent="0.3">
      <c r="A469" t="s">
        <v>572</v>
      </c>
      <c r="B469" s="2">
        <v>45606</v>
      </c>
      <c r="C469" t="s">
        <v>46</v>
      </c>
      <c r="D469" t="s">
        <v>16</v>
      </c>
      <c r="E469" t="s">
        <v>117</v>
      </c>
      <c r="F469" t="s">
        <v>118</v>
      </c>
      <c r="G469" t="s">
        <v>34</v>
      </c>
      <c r="H469" t="s">
        <v>87</v>
      </c>
      <c r="I469">
        <v>1</v>
      </c>
      <c r="J469" s="3">
        <v>745.26</v>
      </c>
      <c r="K469" s="3">
        <v>745.26</v>
      </c>
      <c r="L469" s="3">
        <v>577.08000000000004</v>
      </c>
      <c r="M469" s="3">
        <v>168.18</v>
      </c>
      <c r="N469" t="s">
        <v>54</v>
      </c>
    </row>
    <row r="470" spans="1:14" x14ac:dyDescent="0.3">
      <c r="A470" t="s">
        <v>573</v>
      </c>
      <c r="B470" s="2">
        <v>45337</v>
      </c>
      <c r="C470" t="s">
        <v>105</v>
      </c>
      <c r="D470" t="s">
        <v>16</v>
      </c>
      <c r="E470" t="s">
        <v>80</v>
      </c>
      <c r="F470" t="s">
        <v>81</v>
      </c>
      <c r="G470" t="s">
        <v>27</v>
      </c>
      <c r="H470" t="s">
        <v>68</v>
      </c>
      <c r="I470">
        <v>5</v>
      </c>
      <c r="J470" s="3">
        <v>16335.92</v>
      </c>
      <c r="K470" s="3">
        <v>81679.600000000006</v>
      </c>
      <c r="L470" s="3">
        <v>61820.45</v>
      </c>
      <c r="M470" s="3">
        <v>19859.150000000001</v>
      </c>
      <c r="N470" t="s">
        <v>44</v>
      </c>
    </row>
    <row r="471" spans="1:14" x14ac:dyDescent="0.3">
      <c r="A471" t="s">
        <v>574</v>
      </c>
      <c r="B471" s="2">
        <v>45627</v>
      </c>
      <c r="C471" t="s">
        <v>139</v>
      </c>
      <c r="D471" t="s">
        <v>65</v>
      </c>
      <c r="E471" t="s">
        <v>66</v>
      </c>
      <c r="F471" t="s">
        <v>67</v>
      </c>
      <c r="G471" t="s">
        <v>42</v>
      </c>
      <c r="H471" t="s">
        <v>106</v>
      </c>
      <c r="I471">
        <v>6</v>
      </c>
      <c r="J471" s="3">
        <v>898.99</v>
      </c>
      <c r="K471" s="3">
        <v>5393.94</v>
      </c>
      <c r="L471" s="3">
        <v>3679.43</v>
      </c>
      <c r="M471" s="3">
        <v>1714.51</v>
      </c>
      <c r="N471" t="s">
        <v>36</v>
      </c>
    </row>
    <row r="472" spans="1:14" x14ac:dyDescent="0.3">
      <c r="A472" t="s">
        <v>575</v>
      </c>
      <c r="B472" s="2">
        <v>45391</v>
      </c>
      <c r="C472" t="s">
        <v>144</v>
      </c>
      <c r="D472" t="s">
        <v>16</v>
      </c>
      <c r="E472" t="s">
        <v>117</v>
      </c>
      <c r="F472" t="s">
        <v>118</v>
      </c>
      <c r="G472" t="s">
        <v>19</v>
      </c>
      <c r="H472" t="s">
        <v>147</v>
      </c>
      <c r="I472">
        <v>3</v>
      </c>
      <c r="J472" s="3">
        <v>2653.98</v>
      </c>
      <c r="K472" s="3">
        <v>7961.94</v>
      </c>
      <c r="L472" s="3">
        <v>5414.58</v>
      </c>
      <c r="M472" s="3">
        <v>2547.36</v>
      </c>
      <c r="N472" t="s">
        <v>21</v>
      </c>
    </row>
    <row r="473" spans="1:14" x14ac:dyDescent="0.3">
      <c r="A473" t="s">
        <v>576</v>
      </c>
      <c r="B473" s="2">
        <v>45433</v>
      </c>
      <c r="C473" t="s">
        <v>56</v>
      </c>
      <c r="D473" t="s">
        <v>24</v>
      </c>
      <c r="E473" t="s">
        <v>57</v>
      </c>
      <c r="F473" t="s">
        <v>58</v>
      </c>
      <c r="G473" t="s">
        <v>19</v>
      </c>
      <c r="H473" t="s">
        <v>77</v>
      </c>
      <c r="I473">
        <v>5</v>
      </c>
      <c r="J473" s="3">
        <v>1128.07</v>
      </c>
      <c r="K473" s="3">
        <v>5640.35</v>
      </c>
      <c r="L473" s="3">
        <v>3852.77</v>
      </c>
      <c r="M473" s="3">
        <v>1787.58</v>
      </c>
      <c r="N473" t="s">
        <v>21</v>
      </c>
    </row>
    <row r="474" spans="1:14" x14ac:dyDescent="0.3">
      <c r="A474" t="s">
        <v>577</v>
      </c>
      <c r="B474" s="2">
        <v>45573</v>
      </c>
      <c r="C474" t="s">
        <v>105</v>
      </c>
      <c r="D474" t="s">
        <v>65</v>
      </c>
      <c r="E474" t="s">
        <v>113</v>
      </c>
      <c r="F474" t="s">
        <v>114</v>
      </c>
      <c r="G474" t="s">
        <v>34</v>
      </c>
      <c r="H474" t="s">
        <v>35</v>
      </c>
      <c r="I474">
        <v>2</v>
      </c>
      <c r="J474" s="3">
        <v>2553.1799999999998</v>
      </c>
      <c r="K474" s="3">
        <v>5106.3599999999997</v>
      </c>
      <c r="L474" s="3">
        <v>3670.99</v>
      </c>
      <c r="M474" s="3">
        <v>1435.37</v>
      </c>
      <c r="N474" t="s">
        <v>44</v>
      </c>
    </row>
    <row r="475" spans="1:14" x14ac:dyDescent="0.3">
      <c r="A475" t="s">
        <v>578</v>
      </c>
      <c r="B475" s="2">
        <v>45294</v>
      </c>
      <c r="C475" t="s">
        <v>51</v>
      </c>
      <c r="D475" t="s">
        <v>65</v>
      </c>
      <c r="E475" t="s">
        <v>123</v>
      </c>
      <c r="F475" t="s">
        <v>124</v>
      </c>
      <c r="G475" t="s">
        <v>34</v>
      </c>
      <c r="H475" t="s">
        <v>87</v>
      </c>
      <c r="I475">
        <v>5</v>
      </c>
      <c r="J475" s="3">
        <v>640.13</v>
      </c>
      <c r="K475" s="3">
        <v>3200.65</v>
      </c>
      <c r="L475" s="3">
        <v>2364.8000000000002</v>
      </c>
      <c r="M475" s="3">
        <v>835.85</v>
      </c>
      <c r="N475" t="s">
        <v>44</v>
      </c>
    </row>
    <row r="476" spans="1:14" x14ac:dyDescent="0.3">
      <c r="A476" t="s">
        <v>579</v>
      </c>
      <c r="B476" s="2">
        <v>45423</v>
      </c>
      <c r="C476" t="s">
        <v>102</v>
      </c>
      <c r="D476" t="s">
        <v>65</v>
      </c>
      <c r="E476" t="s">
        <v>131</v>
      </c>
      <c r="F476" t="s">
        <v>132</v>
      </c>
      <c r="G476" t="s">
        <v>42</v>
      </c>
      <c r="H476" t="s">
        <v>111</v>
      </c>
      <c r="I476">
        <v>4</v>
      </c>
      <c r="J476" s="3">
        <v>1686.39</v>
      </c>
      <c r="K476" s="3">
        <v>6745.56</v>
      </c>
      <c r="L476" s="3">
        <v>5608.9</v>
      </c>
      <c r="M476" s="3">
        <v>1136.6600000000001</v>
      </c>
      <c r="N476" t="s">
        <v>29</v>
      </c>
    </row>
    <row r="477" spans="1:14" x14ac:dyDescent="0.3">
      <c r="A477" t="s">
        <v>580</v>
      </c>
      <c r="B477" s="2">
        <v>45527</v>
      </c>
      <c r="C477" t="s">
        <v>134</v>
      </c>
      <c r="D477" t="s">
        <v>16</v>
      </c>
      <c r="E477" t="s">
        <v>47</v>
      </c>
      <c r="F477" t="s">
        <v>48</v>
      </c>
      <c r="G477" t="s">
        <v>27</v>
      </c>
      <c r="H477" t="s">
        <v>68</v>
      </c>
      <c r="I477">
        <v>4</v>
      </c>
      <c r="J477" s="3">
        <v>18481.18</v>
      </c>
      <c r="K477" s="3">
        <v>73924.72</v>
      </c>
      <c r="L477" s="3">
        <v>64967.97</v>
      </c>
      <c r="M477" s="3">
        <v>8956.75</v>
      </c>
      <c r="N477" t="s">
        <v>36</v>
      </c>
    </row>
    <row r="478" spans="1:14" x14ac:dyDescent="0.3">
      <c r="A478" t="s">
        <v>581</v>
      </c>
      <c r="B478" s="2">
        <v>45503</v>
      </c>
      <c r="C478" t="s">
        <v>93</v>
      </c>
      <c r="D478" t="s">
        <v>65</v>
      </c>
      <c r="E478" t="s">
        <v>66</v>
      </c>
      <c r="F478" t="s">
        <v>67</v>
      </c>
      <c r="G478" t="s">
        <v>19</v>
      </c>
      <c r="H478" t="s">
        <v>171</v>
      </c>
      <c r="I478">
        <v>2</v>
      </c>
      <c r="J478" s="3">
        <v>4021.32</v>
      </c>
      <c r="K478" s="3">
        <v>8042.64</v>
      </c>
      <c r="L478" s="3">
        <v>6110.69</v>
      </c>
      <c r="M478" s="3">
        <v>1931.95</v>
      </c>
      <c r="N478" t="s">
        <v>21</v>
      </c>
    </row>
    <row r="479" spans="1:14" x14ac:dyDescent="0.3">
      <c r="A479" t="s">
        <v>582</v>
      </c>
      <c r="B479" s="2">
        <v>45575</v>
      </c>
      <c r="C479" t="s">
        <v>23</v>
      </c>
      <c r="D479" t="s">
        <v>39</v>
      </c>
      <c r="E479" t="s">
        <v>70</v>
      </c>
      <c r="F479" t="s">
        <v>71</v>
      </c>
      <c r="G479" t="s">
        <v>34</v>
      </c>
      <c r="H479" t="s">
        <v>74</v>
      </c>
      <c r="I479">
        <v>5</v>
      </c>
      <c r="J479" s="3">
        <v>1526.1</v>
      </c>
      <c r="K479" s="3">
        <v>7630.5</v>
      </c>
      <c r="L479" s="3">
        <v>6634.14</v>
      </c>
      <c r="M479" s="3">
        <v>996.36</v>
      </c>
      <c r="N479" t="s">
        <v>54</v>
      </c>
    </row>
    <row r="480" spans="1:14" x14ac:dyDescent="0.3">
      <c r="A480" t="s">
        <v>583</v>
      </c>
      <c r="B480" s="2">
        <v>45394</v>
      </c>
      <c r="C480" t="s">
        <v>46</v>
      </c>
      <c r="D480" t="s">
        <v>39</v>
      </c>
      <c r="E480" t="s">
        <v>40</v>
      </c>
      <c r="F480" t="s">
        <v>41</v>
      </c>
      <c r="G480" t="s">
        <v>82</v>
      </c>
      <c r="H480" t="s">
        <v>100</v>
      </c>
      <c r="I480">
        <v>2</v>
      </c>
      <c r="J480" s="3">
        <v>846.5</v>
      </c>
      <c r="K480" s="3">
        <v>1693</v>
      </c>
      <c r="L480" s="3">
        <v>1235.79</v>
      </c>
      <c r="M480" s="3">
        <v>457.21</v>
      </c>
      <c r="N480" t="s">
        <v>36</v>
      </c>
    </row>
    <row r="481" spans="1:14" x14ac:dyDescent="0.3">
      <c r="A481" t="s">
        <v>584</v>
      </c>
      <c r="B481" s="2">
        <v>45371</v>
      </c>
      <c r="C481" t="s">
        <v>269</v>
      </c>
      <c r="D481" t="s">
        <v>16</v>
      </c>
      <c r="E481" t="s">
        <v>17</v>
      </c>
      <c r="F481" t="s">
        <v>18</v>
      </c>
      <c r="G481" t="s">
        <v>42</v>
      </c>
      <c r="H481" t="s">
        <v>187</v>
      </c>
      <c r="I481">
        <v>5</v>
      </c>
      <c r="J481" s="3">
        <v>766.13</v>
      </c>
      <c r="K481" s="3">
        <v>3830.65</v>
      </c>
      <c r="L481" s="3">
        <v>3261.48</v>
      </c>
      <c r="M481" s="3">
        <v>569.16999999999996</v>
      </c>
      <c r="N481" t="s">
        <v>54</v>
      </c>
    </row>
    <row r="482" spans="1:14" x14ac:dyDescent="0.3">
      <c r="A482" t="s">
        <v>585</v>
      </c>
      <c r="B482" s="2">
        <v>45482</v>
      </c>
      <c r="C482" t="s">
        <v>139</v>
      </c>
      <c r="D482" t="s">
        <v>65</v>
      </c>
      <c r="E482" t="s">
        <v>131</v>
      </c>
      <c r="F482" t="s">
        <v>132</v>
      </c>
      <c r="G482" t="s">
        <v>82</v>
      </c>
      <c r="H482" t="s">
        <v>200</v>
      </c>
      <c r="I482">
        <v>3</v>
      </c>
      <c r="J482" s="3">
        <v>1796.69</v>
      </c>
      <c r="K482" s="3">
        <v>5390.07</v>
      </c>
      <c r="L482" s="3">
        <v>4726.4399999999996</v>
      </c>
      <c r="M482" s="3">
        <v>663.63</v>
      </c>
      <c r="N482" t="s">
        <v>36</v>
      </c>
    </row>
    <row r="483" spans="1:14" x14ac:dyDescent="0.3">
      <c r="A483" t="s">
        <v>586</v>
      </c>
      <c r="B483" s="2">
        <v>45495</v>
      </c>
      <c r="C483" t="s">
        <v>38</v>
      </c>
      <c r="D483" t="s">
        <v>39</v>
      </c>
      <c r="E483" t="s">
        <v>40</v>
      </c>
      <c r="F483" t="s">
        <v>41</v>
      </c>
      <c r="G483" t="s">
        <v>27</v>
      </c>
      <c r="H483" t="s">
        <v>61</v>
      </c>
      <c r="I483">
        <v>4</v>
      </c>
      <c r="J483" s="3">
        <v>4895.6899999999996</v>
      </c>
      <c r="K483" s="3">
        <v>19582.759999999998</v>
      </c>
      <c r="L483" s="3">
        <v>13443.81</v>
      </c>
      <c r="M483" s="3">
        <v>6138.95</v>
      </c>
      <c r="N483" t="s">
        <v>54</v>
      </c>
    </row>
    <row r="484" spans="1:14" x14ac:dyDescent="0.3">
      <c r="A484" t="s">
        <v>587</v>
      </c>
      <c r="B484" s="2">
        <v>45643</v>
      </c>
      <c r="C484" t="s">
        <v>23</v>
      </c>
      <c r="D484" t="s">
        <v>39</v>
      </c>
      <c r="E484" t="s">
        <v>70</v>
      </c>
      <c r="F484" t="s">
        <v>71</v>
      </c>
      <c r="G484" t="s">
        <v>42</v>
      </c>
      <c r="H484" t="s">
        <v>111</v>
      </c>
      <c r="I484">
        <v>4</v>
      </c>
      <c r="J484" s="3">
        <v>1541.01</v>
      </c>
      <c r="K484" s="3">
        <v>6164.04</v>
      </c>
      <c r="L484" s="3">
        <v>4201.93</v>
      </c>
      <c r="M484" s="3">
        <v>1962.11</v>
      </c>
      <c r="N484" t="s">
        <v>54</v>
      </c>
    </row>
    <row r="485" spans="1:14" x14ac:dyDescent="0.3">
      <c r="A485" t="s">
        <v>588</v>
      </c>
      <c r="B485" s="2">
        <v>45589</v>
      </c>
      <c r="C485" t="s">
        <v>122</v>
      </c>
      <c r="D485" t="s">
        <v>16</v>
      </c>
      <c r="E485" t="s">
        <v>80</v>
      </c>
      <c r="F485" t="s">
        <v>81</v>
      </c>
      <c r="G485" t="s">
        <v>34</v>
      </c>
      <c r="H485" t="s">
        <v>35</v>
      </c>
      <c r="I485">
        <v>2</v>
      </c>
      <c r="J485" s="3">
        <v>2524.2800000000002</v>
      </c>
      <c r="K485" s="3">
        <v>5048.5600000000004</v>
      </c>
      <c r="L485" s="3">
        <v>3672.46</v>
      </c>
      <c r="M485" s="3">
        <v>1376.1</v>
      </c>
      <c r="N485" t="s">
        <v>44</v>
      </c>
    </row>
    <row r="486" spans="1:14" x14ac:dyDescent="0.3">
      <c r="A486" t="s">
        <v>589</v>
      </c>
      <c r="B486" s="2">
        <v>45467</v>
      </c>
      <c r="C486" t="s">
        <v>105</v>
      </c>
      <c r="D486" t="s">
        <v>65</v>
      </c>
      <c r="E486" t="s">
        <v>123</v>
      </c>
      <c r="F486" t="s">
        <v>124</v>
      </c>
      <c r="G486" t="s">
        <v>34</v>
      </c>
      <c r="H486" t="s">
        <v>74</v>
      </c>
      <c r="I486">
        <v>4</v>
      </c>
      <c r="J486" s="3">
        <v>1664.23</v>
      </c>
      <c r="K486" s="3">
        <v>6656.92</v>
      </c>
      <c r="L486" s="3">
        <v>5022.3900000000003</v>
      </c>
      <c r="M486" s="3">
        <v>1634.53</v>
      </c>
      <c r="N486" t="s">
        <v>36</v>
      </c>
    </row>
    <row r="487" spans="1:14" x14ac:dyDescent="0.3">
      <c r="A487" t="s">
        <v>590</v>
      </c>
      <c r="B487" s="2">
        <v>45522</v>
      </c>
      <c r="C487" t="s">
        <v>15</v>
      </c>
      <c r="D487" t="s">
        <v>39</v>
      </c>
      <c r="E487" t="s">
        <v>40</v>
      </c>
      <c r="F487" t="s">
        <v>41</v>
      </c>
      <c r="G487" t="s">
        <v>42</v>
      </c>
      <c r="H487" t="s">
        <v>106</v>
      </c>
      <c r="I487">
        <v>1</v>
      </c>
      <c r="J487" s="3">
        <v>939.75</v>
      </c>
      <c r="K487" s="3">
        <v>939.75</v>
      </c>
      <c r="L487" s="3">
        <v>790.16</v>
      </c>
      <c r="M487" s="3">
        <v>149.59</v>
      </c>
      <c r="N487" t="s">
        <v>54</v>
      </c>
    </row>
    <row r="488" spans="1:14" x14ac:dyDescent="0.3">
      <c r="A488" t="s">
        <v>591</v>
      </c>
      <c r="B488" s="2">
        <v>45487</v>
      </c>
      <c r="C488" t="s">
        <v>122</v>
      </c>
      <c r="D488" t="s">
        <v>39</v>
      </c>
      <c r="E488" t="s">
        <v>40</v>
      </c>
      <c r="F488" t="s">
        <v>41</v>
      </c>
      <c r="G488" t="s">
        <v>82</v>
      </c>
      <c r="H488" t="s">
        <v>100</v>
      </c>
      <c r="I488">
        <v>4</v>
      </c>
      <c r="J488" s="3">
        <v>955.02</v>
      </c>
      <c r="K488" s="3">
        <v>3820.08</v>
      </c>
      <c r="L488" s="3">
        <v>2732.59</v>
      </c>
      <c r="M488" s="3">
        <v>1087.49</v>
      </c>
      <c r="N488" t="s">
        <v>62</v>
      </c>
    </row>
    <row r="489" spans="1:14" x14ac:dyDescent="0.3">
      <c r="A489" t="s">
        <v>592</v>
      </c>
      <c r="B489" s="2">
        <v>45614</v>
      </c>
      <c r="C489" t="s">
        <v>144</v>
      </c>
      <c r="D489" t="s">
        <v>65</v>
      </c>
      <c r="E489" t="s">
        <v>131</v>
      </c>
      <c r="F489" t="s">
        <v>132</v>
      </c>
      <c r="G489" t="s">
        <v>34</v>
      </c>
      <c r="H489" t="s">
        <v>94</v>
      </c>
      <c r="I489">
        <v>5</v>
      </c>
      <c r="J489" s="3">
        <v>1273.3599999999999</v>
      </c>
      <c r="K489" s="3">
        <v>6366.8</v>
      </c>
      <c r="L489" s="3">
        <v>4455.45</v>
      </c>
      <c r="M489" s="3">
        <v>1911.35</v>
      </c>
      <c r="N489" t="s">
        <v>21</v>
      </c>
    </row>
    <row r="490" spans="1:14" x14ac:dyDescent="0.3">
      <c r="A490" t="s">
        <v>593</v>
      </c>
      <c r="B490" s="2">
        <v>45402</v>
      </c>
      <c r="C490" t="s">
        <v>38</v>
      </c>
      <c r="D490" t="s">
        <v>65</v>
      </c>
      <c r="E490" t="s">
        <v>131</v>
      </c>
      <c r="F490" t="s">
        <v>132</v>
      </c>
      <c r="G490" t="s">
        <v>82</v>
      </c>
      <c r="H490" t="s">
        <v>126</v>
      </c>
      <c r="I490">
        <v>4</v>
      </c>
      <c r="J490" s="3">
        <v>472.01</v>
      </c>
      <c r="K490" s="3">
        <v>1888.04</v>
      </c>
      <c r="L490" s="3">
        <v>1381.96</v>
      </c>
      <c r="M490" s="3">
        <v>506.08</v>
      </c>
      <c r="N490" t="s">
        <v>44</v>
      </c>
    </row>
    <row r="491" spans="1:14" x14ac:dyDescent="0.3">
      <c r="A491" t="s">
        <v>594</v>
      </c>
      <c r="B491" s="2">
        <v>45577</v>
      </c>
      <c r="C491" t="s">
        <v>23</v>
      </c>
      <c r="D491" t="s">
        <v>65</v>
      </c>
      <c r="E491" t="s">
        <v>113</v>
      </c>
      <c r="F491" t="s">
        <v>114</v>
      </c>
      <c r="G491" t="s">
        <v>27</v>
      </c>
      <c r="H491" t="s">
        <v>68</v>
      </c>
      <c r="I491">
        <v>3</v>
      </c>
      <c r="J491" s="3">
        <v>19322.53</v>
      </c>
      <c r="K491" s="3">
        <v>57967.59</v>
      </c>
      <c r="L491" s="3">
        <v>50583.87</v>
      </c>
      <c r="M491" s="3">
        <v>7383.72</v>
      </c>
      <c r="N491" t="s">
        <v>44</v>
      </c>
    </row>
    <row r="492" spans="1:14" x14ac:dyDescent="0.3">
      <c r="A492" t="s">
        <v>595</v>
      </c>
      <c r="B492" s="2">
        <v>45586</v>
      </c>
      <c r="C492" t="s">
        <v>56</v>
      </c>
      <c r="D492" t="s">
        <v>39</v>
      </c>
      <c r="E492" t="s">
        <v>97</v>
      </c>
      <c r="F492" t="s">
        <v>98</v>
      </c>
      <c r="G492" t="s">
        <v>34</v>
      </c>
      <c r="H492" t="s">
        <v>94</v>
      </c>
      <c r="I492">
        <v>4</v>
      </c>
      <c r="J492" s="3">
        <v>1476.93</v>
      </c>
      <c r="K492" s="3">
        <v>5907.72</v>
      </c>
      <c r="L492" s="3">
        <v>4545.32</v>
      </c>
      <c r="M492" s="3">
        <v>1362.4</v>
      </c>
      <c r="N492" t="s">
        <v>54</v>
      </c>
    </row>
    <row r="493" spans="1:14" x14ac:dyDescent="0.3">
      <c r="A493" t="s">
        <v>596</v>
      </c>
      <c r="B493" s="2">
        <v>45606</v>
      </c>
      <c r="C493" t="s">
        <v>31</v>
      </c>
      <c r="D493" t="s">
        <v>65</v>
      </c>
      <c r="E493" t="s">
        <v>131</v>
      </c>
      <c r="F493" t="s">
        <v>132</v>
      </c>
      <c r="G493" t="s">
        <v>19</v>
      </c>
      <c r="H493" t="s">
        <v>20</v>
      </c>
      <c r="I493">
        <v>2</v>
      </c>
      <c r="J493" s="3">
        <v>6682.75</v>
      </c>
      <c r="K493" s="3">
        <v>13365.5</v>
      </c>
      <c r="L493" s="3">
        <v>11570.69</v>
      </c>
      <c r="M493" s="3">
        <v>1794.81</v>
      </c>
      <c r="N493" t="s">
        <v>29</v>
      </c>
    </row>
    <row r="494" spans="1:14" x14ac:dyDescent="0.3">
      <c r="A494" t="s">
        <v>597</v>
      </c>
      <c r="B494" s="2">
        <v>45605</v>
      </c>
      <c r="C494" t="s">
        <v>76</v>
      </c>
      <c r="D494" t="s">
        <v>24</v>
      </c>
      <c r="E494" t="s">
        <v>25</v>
      </c>
      <c r="F494" t="s">
        <v>26</v>
      </c>
      <c r="G494" t="s">
        <v>27</v>
      </c>
      <c r="H494" t="s">
        <v>59</v>
      </c>
      <c r="I494">
        <v>2</v>
      </c>
      <c r="J494" s="3">
        <v>2406.7399999999998</v>
      </c>
      <c r="K494" s="3">
        <v>4813.4799999999996</v>
      </c>
      <c r="L494" s="3">
        <v>3901.82</v>
      </c>
      <c r="M494" s="3">
        <v>911.66</v>
      </c>
      <c r="N494" t="s">
        <v>44</v>
      </c>
    </row>
    <row r="495" spans="1:14" x14ac:dyDescent="0.3">
      <c r="A495" t="s">
        <v>598</v>
      </c>
      <c r="B495" s="2">
        <v>45622</v>
      </c>
      <c r="C495" t="s">
        <v>31</v>
      </c>
      <c r="D495" t="s">
        <v>24</v>
      </c>
      <c r="E495" t="s">
        <v>57</v>
      </c>
      <c r="F495" t="s">
        <v>58</v>
      </c>
      <c r="G495" t="s">
        <v>82</v>
      </c>
      <c r="H495" t="s">
        <v>83</v>
      </c>
      <c r="I495">
        <v>6</v>
      </c>
      <c r="J495" s="3">
        <v>661.3</v>
      </c>
      <c r="K495" s="3">
        <v>3967.8</v>
      </c>
      <c r="L495" s="3">
        <v>3464.31</v>
      </c>
      <c r="M495" s="3">
        <v>503.49</v>
      </c>
      <c r="N495" t="s">
        <v>62</v>
      </c>
    </row>
    <row r="496" spans="1:14" x14ac:dyDescent="0.3">
      <c r="A496" t="s">
        <v>599</v>
      </c>
      <c r="B496" s="2">
        <v>45386</v>
      </c>
      <c r="C496" t="s">
        <v>144</v>
      </c>
      <c r="D496" t="s">
        <v>16</v>
      </c>
      <c r="E496" t="s">
        <v>117</v>
      </c>
      <c r="F496" t="s">
        <v>118</v>
      </c>
      <c r="G496" t="s">
        <v>19</v>
      </c>
      <c r="H496" t="s">
        <v>171</v>
      </c>
      <c r="I496">
        <v>6</v>
      </c>
      <c r="J496" s="3">
        <v>4368.59</v>
      </c>
      <c r="K496" s="3">
        <v>26211.54</v>
      </c>
      <c r="L496" s="3">
        <v>18243.57</v>
      </c>
      <c r="M496" s="3">
        <v>7967.97</v>
      </c>
      <c r="N496" t="s">
        <v>54</v>
      </c>
    </row>
    <row r="497" spans="1:14" x14ac:dyDescent="0.3">
      <c r="A497" t="s">
        <v>600</v>
      </c>
      <c r="B497" s="2">
        <v>45344</v>
      </c>
      <c r="C497" t="s">
        <v>139</v>
      </c>
      <c r="D497" t="s">
        <v>16</v>
      </c>
      <c r="E497" t="s">
        <v>17</v>
      </c>
      <c r="F497" t="s">
        <v>18</v>
      </c>
      <c r="G497" t="s">
        <v>42</v>
      </c>
      <c r="H497" t="s">
        <v>187</v>
      </c>
      <c r="I497">
        <v>5</v>
      </c>
      <c r="J497" s="3">
        <v>774.15</v>
      </c>
      <c r="K497" s="3">
        <v>3870.75</v>
      </c>
      <c r="L497" s="3">
        <v>3228.93</v>
      </c>
      <c r="M497" s="3">
        <v>641.82000000000005</v>
      </c>
      <c r="N497" t="s">
        <v>21</v>
      </c>
    </row>
    <row r="498" spans="1:14" x14ac:dyDescent="0.3">
      <c r="A498" t="s">
        <v>601</v>
      </c>
      <c r="B498" s="2">
        <v>45345</v>
      </c>
      <c r="C498" t="s">
        <v>102</v>
      </c>
      <c r="D498" t="s">
        <v>65</v>
      </c>
      <c r="E498" t="s">
        <v>123</v>
      </c>
      <c r="F498" t="s">
        <v>124</v>
      </c>
      <c r="G498" t="s">
        <v>27</v>
      </c>
      <c r="H498" t="s">
        <v>61</v>
      </c>
      <c r="I498">
        <v>3</v>
      </c>
      <c r="J498" s="3">
        <v>4256.42</v>
      </c>
      <c r="K498" s="3">
        <v>12769.26</v>
      </c>
      <c r="L498" s="3">
        <v>10566.8</v>
      </c>
      <c r="M498" s="3">
        <v>2202.46</v>
      </c>
      <c r="N498" t="s">
        <v>29</v>
      </c>
    </row>
    <row r="499" spans="1:14" x14ac:dyDescent="0.3">
      <c r="A499" t="s">
        <v>602</v>
      </c>
      <c r="B499" s="2">
        <v>45356</v>
      </c>
      <c r="C499" t="s">
        <v>15</v>
      </c>
      <c r="D499" t="s">
        <v>39</v>
      </c>
      <c r="E499" t="s">
        <v>40</v>
      </c>
      <c r="F499" t="s">
        <v>41</v>
      </c>
      <c r="G499" t="s">
        <v>27</v>
      </c>
      <c r="H499" t="s">
        <v>59</v>
      </c>
      <c r="I499">
        <v>3</v>
      </c>
      <c r="J499" s="3">
        <v>2682.12</v>
      </c>
      <c r="K499" s="3">
        <v>8046.36</v>
      </c>
      <c r="L499" s="3">
        <v>6223.37</v>
      </c>
      <c r="M499" s="3">
        <v>1822.99</v>
      </c>
      <c r="N499" t="s">
        <v>36</v>
      </c>
    </row>
    <row r="500" spans="1:14" x14ac:dyDescent="0.3">
      <c r="A500" t="s">
        <v>603</v>
      </c>
      <c r="B500" s="2">
        <v>45572</v>
      </c>
      <c r="C500" t="s">
        <v>64</v>
      </c>
      <c r="D500" t="s">
        <v>24</v>
      </c>
      <c r="E500" t="s">
        <v>32</v>
      </c>
      <c r="F500" t="s">
        <v>33</v>
      </c>
      <c r="G500" t="s">
        <v>42</v>
      </c>
      <c r="H500" t="s">
        <v>111</v>
      </c>
      <c r="I500">
        <v>2</v>
      </c>
      <c r="J500" s="3">
        <v>1629.07</v>
      </c>
      <c r="K500" s="3">
        <v>3258.14</v>
      </c>
      <c r="L500" s="3">
        <v>2513.0300000000002</v>
      </c>
      <c r="M500" s="3">
        <v>745.11</v>
      </c>
      <c r="N500" t="s">
        <v>54</v>
      </c>
    </row>
    <row r="501" spans="1:14" x14ac:dyDescent="0.3">
      <c r="A501" t="s">
        <v>604</v>
      </c>
      <c r="B501" s="2">
        <v>45560</v>
      </c>
      <c r="C501" t="s">
        <v>76</v>
      </c>
      <c r="D501" t="s">
        <v>65</v>
      </c>
      <c r="E501" t="s">
        <v>113</v>
      </c>
      <c r="F501" t="s">
        <v>114</v>
      </c>
      <c r="G501" t="s">
        <v>34</v>
      </c>
      <c r="H501" t="s">
        <v>74</v>
      </c>
      <c r="I501">
        <v>1</v>
      </c>
      <c r="J501" s="3">
        <v>1581.4</v>
      </c>
      <c r="K501" s="3">
        <v>1581.4</v>
      </c>
      <c r="L501" s="3">
        <v>1191.04</v>
      </c>
      <c r="M501" s="3">
        <v>390.36</v>
      </c>
      <c r="N501" t="s">
        <v>62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C1ED3-5B07-412B-9C5E-1A195AC75338}">
  <dimension ref="A1:N9"/>
  <sheetViews>
    <sheetView workbookViewId="0">
      <selection activeCell="B9" sqref="B9"/>
    </sheetView>
  </sheetViews>
  <sheetFormatPr defaultRowHeight="14.4" x14ac:dyDescent="0.3"/>
  <cols>
    <col min="1" max="2" width="17.5546875" customWidth="1"/>
  </cols>
  <sheetData>
    <row r="1" spans="1:14" ht="36.6" x14ac:dyDescent="0.7">
      <c r="A1" s="24" t="s">
        <v>622</v>
      </c>
      <c r="B1" s="24"/>
      <c r="C1" s="24"/>
      <c r="D1" s="24"/>
      <c r="E1" s="24"/>
      <c r="F1" s="24"/>
      <c r="G1" s="24"/>
      <c r="H1" s="24"/>
      <c r="I1" s="24"/>
      <c r="J1" s="24"/>
      <c r="K1" s="24"/>
      <c r="L1" s="24"/>
      <c r="M1" s="24"/>
      <c r="N1" s="24"/>
    </row>
    <row r="3" spans="1:14" x14ac:dyDescent="0.3">
      <c r="A3" t="s">
        <v>623</v>
      </c>
      <c r="B3" t="s">
        <v>624</v>
      </c>
    </row>
    <row r="4" spans="1:14" x14ac:dyDescent="0.3">
      <c r="A4" t="s">
        <v>625</v>
      </c>
      <c r="B4" s="6">
        <f>SUM(Sales_Data!K:K)</f>
        <v>10400949.399999987</v>
      </c>
    </row>
    <row r="5" spans="1:14" x14ac:dyDescent="0.3">
      <c r="A5" t="s">
        <v>626</v>
      </c>
      <c r="B5" s="7">
        <f>SUM(Sales_Data!M:M)</f>
        <v>2291462.5200000023</v>
      </c>
    </row>
    <row r="6" spans="1:14" x14ac:dyDescent="0.3">
      <c r="A6" t="s">
        <v>627</v>
      </c>
      <c r="B6">
        <f>COUNTA(Sales_Data!A:A)</f>
        <v>501</v>
      </c>
    </row>
    <row r="7" spans="1:14" x14ac:dyDescent="0.3">
      <c r="A7" t="s">
        <v>628</v>
      </c>
      <c r="B7">
        <f>SUM(Sales_Data!I:I)</f>
        <v>1712</v>
      </c>
    </row>
    <row r="8" spans="1:14" x14ac:dyDescent="0.3">
      <c r="A8" t="s">
        <v>629</v>
      </c>
      <c r="B8" s="7">
        <f>B5/B6</f>
        <v>4573.7774850299447</v>
      </c>
    </row>
    <row r="9" spans="1:14" x14ac:dyDescent="0.3">
      <c r="A9" t="s">
        <v>630</v>
      </c>
      <c r="B9" s="8">
        <f>B5/B4</f>
        <v>0.22031282259675306</v>
      </c>
    </row>
  </sheetData>
  <mergeCells count="1">
    <mergeCell ref="A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42BCA-1570-4BA2-A5CE-BB813E7173F5}">
  <dimension ref="A1:C14"/>
  <sheetViews>
    <sheetView workbookViewId="0">
      <selection activeCell="C11" sqref="C11"/>
    </sheetView>
  </sheetViews>
  <sheetFormatPr defaultRowHeight="14.4" x14ac:dyDescent="0.3"/>
  <cols>
    <col min="1" max="1" width="12.5546875" bestFit="1" customWidth="1"/>
    <col min="2" max="2" width="14.33203125" bestFit="1" customWidth="1"/>
    <col min="3" max="3" width="12.6640625" bestFit="1" customWidth="1"/>
  </cols>
  <sheetData>
    <row r="1" spans="1:3" x14ac:dyDescent="0.3">
      <c r="A1" s="4" t="s">
        <v>605</v>
      </c>
      <c r="B1" t="s">
        <v>619</v>
      </c>
      <c r="C1" t="s">
        <v>620</v>
      </c>
    </row>
    <row r="2" spans="1:3" x14ac:dyDescent="0.3">
      <c r="A2" s="5" t="s">
        <v>607</v>
      </c>
      <c r="B2" s="3">
        <v>407161.60000000003</v>
      </c>
      <c r="C2" s="3">
        <v>88664.95</v>
      </c>
    </row>
    <row r="3" spans="1:3" x14ac:dyDescent="0.3">
      <c r="A3" s="5" t="s">
        <v>608</v>
      </c>
      <c r="B3" s="3">
        <v>953097.52999999991</v>
      </c>
      <c r="C3" s="3">
        <v>191525.78999999998</v>
      </c>
    </row>
    <row r="4" spans="1:3" x14ac:dyDescent="0.3">
      <c r="A4" s="5" t="s">
        <v>609</v>
      </c>
      <c r="B4" s="3">
        <v>469830.5399999998</v>
      </c>
      <c r="C4" s="3">
        <v>110462.83000000002</v>
      </c>
    </row>
    <row r="5" spans="1:3" x14ac:dyDescent="0.3">
      <c r="A5" s="5" t="s">
        <v>610</v>
      </c>
      <c r="B5" s="3">
        <v>846738.14000000025</v>
      </c>
      <c r="C5" s="3">
        <v>210275.41999999993</v>
      </c>
    </row>
    <row r="6" spans="1:3" x14ac:dyDescent="0.3">
      <c r="A6" s="5" t="s">
        <v>611</v>
      </c>
      <c r="B6" s="3">
        <v>577625.91</v>
      </c>
      <c r="C6" s="3">
        <v>114070.01000000002</v>
      </c>
    </row>
    <row r="7" spans="1:3" x14ac:dyDescent="0.3">
      <c r="A7" s="5" t="s">
        <v>612</v>
      </c>
      <c r="B7" s="3">
        <v>860840.34000000008</v>
      </c>
      <c r="C7" s="3">
        <v>161858.26</v>
      </c>
    </row>
    <row r="8" spans="1:3" x14ac:dyDescent="0.3">
      <c r="A8" s="5" t="s">
        <v>613</v>
      </c>
      <c r="B8" s="3">
        <v>905891.98999999976</v>
      </c>
      <c r="C8" s="3">
        <v>179257.34000000003</v>
      </c>
    </row>
    <row r="9" spans="1:3" x14ac:dyDescent="0.3">
      <c r="A9" s="5" t="s">
        <v>614</v>
      </c>
      <c r="B9" s="3">
        <v>1856496.1300000004</v>
      </c>
      <c r="C9" s="3">
        <v>425018.01000000007</v>
      </c>
    </row>
    <row r="10" spans="1:3" x14ac:dyDescent="0.3">
      <c r="A10" s="5" t="s">
        <v>615</v>
      </c>
      <c r="B10" s="3">
        <v>649925.63000000012</v>
      </c>
      <c r="C10" s="3">
        <v>178060.44999999998</v>
      </c>
    </row>
    <row r="11" spans="1:3" x14ac:dyDescent="0.3">
      <c r="A11" s="5" t="s">
        <v>616</v>
      </c>
      <c r="B11" s="3">
        <v>1607369.1199999999</v>
      </c>
      <c r="C11" s="3">
        <v>346306.95999999985</v>
      </c>
    </row>
    <row r="12" spans="1:3" x14ac:dyDescent="0.3">
      <c r="A12" s="5" t="s">
        <v>617</v>
      </c>
      <c r="B12" s="3">
        <v>529884.08000000007</v>
      </c>
      <c r="C12" s="3">
        <v>115190.79999999999</v>
      </c>
    </row>
    <row r="13" spans="1:3" x14ac:dyDescent="0.3">
      <c r="A13" s="5" t="s">
        <v>618</v>
      </c>
      <c r="B13" s="3">
        <v>736088.39</v>
      </c>
      <c r="C13" s="3">
        <v>170771.7</v>
      </c>
    </row>
    <row r="14" spans="1:3" x14ac:dyDescent="0.3">
      <c r="A14" s="5" t="s">
        <v>606</v>
      </c>
      <c r="B14" s="3">
        <v>10400949.400000002</v>
      </c>
      <c r="C14" s="3">
        <v>2291462.52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2BE5C-8EA8-4FC9-A8BB-E2A427246333}">
  <sheetPr>
    <pageSetUpPr fitToPage="1"/>
  </sheetPr>
  <dimension ref="A1:U56"/>
  <sheetViews>
    <sheetView tabSelected="1" view="pageBreakPreview" zoomScale="105" zoomScaleNormal="124" workbookViewId="0">
      <selection sqref="A1:U1"/>
    </sheetView>
  </sheetViews>
  <sheetFormatPr defaultRowHeight="14.4" x14ac:dyDescent="0.3"/>
  <cols>
    <col min="1" max="1" width="21.5546875" customWidth="1"/>
    <col min="2" max="2" width="3.5546875" customWidth="1"/>
    <col min="3" max="3" width="18.77734375" customWidth="1"/>
    <col min="4" max="4" width="4.21875" customWidth="1"/>
    <col min="5" max="5" width="0.33203125" customWidth="1"/>
    <col min="6" max="6" width="7.44140625" customWidth="1"/>
    <col min="7" max="7" width="12.5546875" customWidth="1"/>
    <col min="8" max="8" width="4.5546875" customWidth="1"/>
    <col min="9" max="9" width="4.21875" customWidth="1"/>
    <col min="10" max="10" width="14" customWidth="1"/>
    <col min="11" max="11" width="2.88671875" customWidth="1"/>
    <col min="12" max="12" width="19.44140625" customWidth="1"/>
    <col min="13" max="13" width="5.109375" customWidth="1"/>
    <col min="14" max="14" width="18.21875" customWidth="1"/>
  </cols>
  <sheetData>
    <row r="1" spans="1:21" ht="40.200000000000003" x14ac:dyDescent="1">
      <c r="A1" s="19" t="s">
        <v>631</v>
      </c>
      <c r="B1" s="19"/>
      <c r="C1" s="19"/>
      <c r="D1" s="19"/>
      <c r="E1" s="19"/>
      <c r="F1" s="19"/>
      <c r="G1" s="19"/>
      <c r="H1" s="19"/>
      <c r="I1" s="19"/>
      <c r="J1" s="19"/>
      <c r="K1" s="19"/>
      <c r="L1" s="19"/>
      <c r="M1" s="19"/>
      <c r="N1" s="19"/>
      <c r="O1" s="19"/>
      <c r="P1" s="19"/>
      <c r="Q1" s="19"/>
      <c r="R1" s="19"/>
      <c r="S1" s="19"/>
      <c r="T1" s="19"/>
      <c r="U1" s="19"/>
    </row>
    <row r="2" spans="1:21" ht="19.2" x14ac:dyDescent="0.4">
      <c r="A2" s="20" t="s">
        <v>632</v>
      </c>
      <c r="B2" s="20"/>
      <c r="C2" s="20"/>
      <c r="D2" s="20"/>
      <c r="E2" s="20"/>
      <c r="F2" s="20"/>
      <c r="G2" s="20"/>
      <c r="H2" s="20"/>
      <c r="I2" s="20"/>
      <c r="J2" s="20"/>
      <c r="K2" s="20"/>
      <c r="L2" s="20"/>
      <c r="M2" s="20"/>
      <c r="N2" s="20"/>
      <c r="O2" s="20"/>
      <c r="P2" s="20"/>
      <c r="Q2" s="20"/>
      <c r="R2" s="20"/>
      <c r="S2" s="20"/>
      <c r="T2" s="20"/>
      <c r="U2" s="20"/>
    </row>
    <row r="3" spans="1:21" ht="114.6" customHeight="1" x14ac:dyDescent="0.3">
      <c r="A3" s="9"/>
      <c r="B3" s="9"/>
      <c r="C3" s="9"/>
      <c r="D3" s="9"/>
      <c r="E3" s="9"/>
      <c r="F3" s="9"/>
      <c r="G3" s="9"/>
      <c r="H3" s="9"/>
      <c r="I3" s="9"/>
      <c r="J3" s="9"/>
      <c r="K3" s="9"/>
      <c r="L3" s="9"/>
      <c r="M3" s="9"/>
      <c r="N3" s="9"/>
      <c r="O3" s="9"/>
      <c r="P3" s="9"/>
      <c r="Q3" s="9"/>
      <c r="R3" s="9"/>
      <c r="S3" s="9"/>
      <c r="T3" s="9"/>
      <c r="U3" s="9"/>
    </row>
    <row r="4" spans="1:21" ht="31.8" customHeight="1" x14ac:dyDescent="0.3">
      <c r="A4" s="11" t="s">
        <v>625</v>
      </c>
      <c r="B4" s="9"/>
      <c r="C4" s="13" t="s">
        <v>626</v>
      </c>
      <c r="D4" s="9"/>
      <c r="F4" s="22" t="s">
        <v>627</v>
      </c>
      <c r="G4" s="22"/>
      <c r="H4" s="9"/>
      <c r="I4" s="22" t="s">
        <v>628</v>
      </c>
      <c r="J4" s="22"/>
      <c r="K4" s="9"/>
      <c r="L4" s="13" t="s">
        <v>633</v>
      </c>
      <c r="M4" s="9"/>
      <c r="N4" s="13" t="s">
        <v>630</v>
      </c>
      <c r="O4" s="9"/>
      <c r="P4" s="9"/>
      <c r="Q4" s="9"/>
      <c r="R4" s="9"/>
      <c r="S4" s="9"/>
      <c r="T4" s="9"/>
      <c r="U4" s="9"/>
    </row>
    <row r="5" spans="1:21" ht="35.4" customHeight="1" x14ac:dyDescent="0.3">
      <c r="A5" s="10">
        <f>Sheet6!B4</f>
        <v>10400949.399999987</v>
      </c>
      <c r="B5" s="9"/>
      <c r="C5" s="12">
        <f>Sheet6!B5</f>
        <v>2291462.5200000023</v>
      </c>
      <c r="D5" s="9"/>
      <c r="F5" s="23">
        <v>501</v>
      </c>
      <c r="G5" s="23"/>
      <c r="H5" s="9"/>
      <c r="I5" s="23">
        <f>Sheet6!B7</f>
        <v>1712</v>
      </c>
      <c r="J5" s="23"/>
      <c r="K5" s="9"/>
      <c r="L5" s="14">
        <f>Sheet6!B8</f>
        <v>4573.7774850299447</v>
      </c>
      <c r="M5" s="9"/>
      <c r="N5" s="15">
        <f>Sheet6!B9</f>
        <v>0.22031282259675306</v>
      </c>
      <c r="O5" s="9"/>
      <c r="P5" s="9"/>
      <c r="Q5" s="9"/>
      <c r="R5" s="9"/>
      <c r="S5" s="9"/>
      <c r="U5" s="9"/>
    </row>
    <row r="6" spans="1:21" ht="4.2" customHeight="1" x14ac:dyDescent="0.3">
      <c r="A6" s="9"/>
      <c r="B6" s="9"/>
      <c r="C6" s="9"/>
      <c r="D6" s="9"/>
      <c r="F6" s="9"/>
      <c r="G6" s="9"/>
      <c r="H6" s="9"/>
      <c r="I6" s="9"/>
      <c r="J6" s="9"/>
      <c r="K6" s="9"/>
      <c r="L6" s="9"/>
      <c r="M6" s="9"/>
      <c r="N6" s="9"/>
      <c r="O6" s="9"/>
      <c r="P6" s="9"/>
      <c r="Q6" s="9"/>
      <c r="R6" s="9"/>
      <c r="S6" s="9"/>
      <c r="T6" s="9"/>
      <c r="U6" s="9"/>
    </row>
    <row r="7" spans="1:21" ht="4.2" customHeight="1" x14ac:dyDescent="0.3">
      <c r="A7" s="9"/>
      <c r="B7" s="9"/>
      <c r="C7" s="9"/>
      <c r="D7" s="9"/>
      <c r="F7" s="9"/>
      <c r="G7" s="9"/>
      <c r="H7" s="9"/>
      <c r="I7" s="9"/>
      <c r="J7" s="9"/>
      <c r="K7" s="9"/>
      <c r="L7" s="9"/>
      <c r="M7" s="9"/>
      <c r="N7" s="9"/>
      <c r="O7" s="9"/>
      <c r="P7" s="9"/>
      <c r="Q7" s="9"/>
      <c r="R7" s="9"/>
      <c r="S7" s="9"/>
      <c r="T7" s="9"/>
      <c r="U7" s="9"/>
    </row>
    <row r="8" spans="1:21" ht="0.6" customHeight="1" x14ac:dyDescent="0.3">
      <c r="A8" s="9"/>
      <c r="B8" s="9"/>
      <c r="C8" s="9"/>
      <c r="D8" s="9"/>
      <c r="E8" s="9"/>
      <c r="F8" s="9"/>
      <c r="G8" s="9"/>
      <c r="H8" s="9"/>
      <c r="I8" s="9"/>
      <c r="L8" s="9"/>
      <c r="M8" s="9"/>
      <c r="N8" s="9"/>
      <c r="O8" s="9"/>
      <c r="P8" s="9"/>
      <c r="Q8" s="9"/>
      <c r="R8" s="9"/>
      <c r="S8" s="9"/>
      <c r="T8" s="9"/>
      <c r="U8" s="9"/>
    </row>
    <row r="9" spans="1:21" hidden="1" x14ac:dyDescent="0.3">
      <c r="A9" s="9"/>
      <c r="B9" s="9"/>
      <c r="C9" s="9"/>
      <c r="D9" s="9"/>
      <c r="E9" s="9"/>
      <c r="F9" s="9"/>
      <c r="G9" s="9"/>
      <c r="H9" s="9"/>
      <c r="I9" s="9"/>
      <c r="J9" s="9"/>
      <c r="K9" s="9"/>
      <c r="L9" s="9"/>
      <c r="M9" s="9"/>
      <c r="N9" s="9"/>
      <c r="O9" s="9"/>
      <c r="P9" s="9"/>
      <c r="Q9" s="9"/>
      <c r="R9" s="9"/>
      <c r="S9" s="9"/>
      <c r="T9" s="9"/>
      <c r="U9" s="9"/>
    </row>
    <row r="10" spans="1:21" hidden="1" x14ac:dyDescent="0.3">
      <c r="A10" s="9"/>
      <c r="B10" s="9"/>
      <c r="C10" s="9"/>
      <c r="D10" s="9"/>
      <c r="E10" s="9"/>
      <c r="F10" s="9"/>
      <c r="G10" s="9"/>
      <c r="H10" s="9"/>
      <c r="I10" s="9"/>
      <c r="J10" s="9"/>
      <c r="K10" s="9"/>
      <c r="L10" s="9"/>
      <c r="M10" s="9"/>
      <c r="N10" s="9"/>
      <c r="O10" s="9"/>
      <c r="P10" s="9"/>
      <c r="Q10" s="9"/>
      <c r="R10" s="9"/>
      <c r="S10" s="9"/>
      <c r="T10" s="9"/>
      <c r="U10" s="9"/>
    </row>
    <row r="11" spans="1:21" hidden="1" x14ac:dyDescent="0.3">
      <c r="A11" s="9"/>
      <c r="B11" s="9"/>
      <c r="C11" s="9"/>
      <c r="D11" s="9"/>
      <c r="E11" s="9"/>
      <c r="F11" s="9"/>
      <c r="G11" s="9"/>
      <c r="H11" s="9"/>
      <c r="I11" s="9"/>
      <c r="J11" s="9"/>
      <c r="K11" s="9"/>
      <c r="L11" s="9"/>
      <c r="M11" s="9"/>
      <c r="N11" s="9"/>
      <c r="O11" s="9"/>
      <c r="P11" s="9"/>
      <c r="Q11" s="9"/>
      <c r="R11" s="9"/>
      <c r="S11" s="9"/>
      <c r="T11" s="9"/>
      <c r="U11" s="9"/>
    </row>
    <row r="12" spans="1:21" x14ac:dyDescent="0.3">
      <c r="A12" s="9"/>
      <c r="B12" s="9"/>
      <c r="C12" s="9"/>
      <c r="D12" s="9"/>
      <c r="E12" s="9"/>
      <c r="F12" s="9"/>
      <c r="G12" s="9"/>
      <c r="H12" s="9"/>
      <c r="I12" s="9"/>
      <c r="J12" s="9"/>
      <c r="K12" s="9"/>
      <c r="L12" s="9"/>
      <c r="M12" s="9"/>
      <c r="N12" s="9"/>
      <c r="O12" s="9"/>
      <c r="P12" s="9"/>
      <c r="Q12" s="9"/>
      <c r="R12" s="9"/>
      <c r="S12" s="9"/>
      <c r="T12" s="9"/>
      <c r="U12" s="9"/>
    </row>
    <row r="13" spans="1:21" x14ac:dyDescent="0.3">
      <c r="A13" s="9"/>
      <c r="B13" s="9"/>
      <c r="C13" s="9"/>
      <c r="D13" s="9"/>
      <c r="E13" s="9"/>
      <c r="F13" s="9"/>
      <c r="G13" s="9"/>
      <c r="H13" s="9"/>
      <c r="I13" s="9"/>
      <c r="J13" s="9"/>
      <c r="K13" s="9"/>
      <c r="L13" s="9"/>
      <c r="M13" s="9"/>
      <c r="N13" s="9"/>
      <c r="O13" s="9"/>
      <c r="P13" s="9"/>
      <c r="Q13" s="9"/>
      <c r="R13" s="9"/>
      <c r="S13" s="9"/>
      <c r="T13" s="9"/>
      <c r="U13" s="9"/>
    </row>
    <row r="14" spans="1:21" x14ac:dyDescent="0.3">
      <c r="A14" s="9"/>
      <c r="B14" s="9"/>
      <c r="C14" s="9"/>
      <c r="D14" s="9"/>
      <c r="E14" s="9"/>
      <c r="F14" s="9"/>
      <c r="G14" s="9"/>
      <c r="H14" s="9"/>
      <c r="I14" s="9"/>
      <c r="J14" s="9"/>
      <c r="K14" s="9"/>
      <c r="L14" s="9"/>
      <c r="M14" s="9"/>
      <c r="N14" s="9"/>
      <c r="O14" s="9"/>
      <c r="P14" s="9"/>
      <c r="Q14" s="9"/>
      <c r="R14" s="9"/>
      <c r="S14" s="9"/>
      <c r="T14" s="9"/>
      <c r="U14" s="9"/>
    </row>
    <row r="15" spans="1:21" x14ac:dyDescent="0.3">
      <c r="A15" s="9"/>
      <c r="B15" s="9"/>
      <c r="C15" s="9"/>
      <c r="D15" s="9"/>
      <c r="E15" s="9"/>
      <c r="F15" s="9"/>
      <c r="G15" s="9"/>
      <c r="H15" s="9"/>
      <c r="I15" s="9"/>
      <c r="J15" s="9"/>
      <c r="K15" s="9"/>
      <c r="L15" s="9"/>
      <c r="M15" s="9"/>
      <c r="N15" s="9"/>
      <c r="O15" s="9"/>
      <c r="P15" s="9"/>
      <c r="Q15" s="9"/>
      <c r="R15" s="9"/>
      <c r="S15" s="9"/>
      <c r="T15" s="9"/>
      <c r="U15" s="9"/>
    </row>
    <row r="16" spans="1:21" x14ac:dyDescent="0.3">
      <c r="A16" s="9"/>
      <c r="B16" s="9"/>
      <c r="C16" s="9"/>
      <c r="D16" s="9"/>
      <c r="E16" s="9"/>
      <c r="F16" s="9"/>
      <c r="G16" s="9"/>
      <c r="H16" s="9"/>
      <c r="I16" s="9"/>
      <c r="J16" s="9"/>
      <c r="K16" s="9"/>
      <c r="L16" s="9"/>
      <c r="M16" s="9"/>
      <c r="N16" s="9"/>
      <c r="O16" s="9"/>
      <c r="P16" s="9"/>
      <c r="Q16" s="9"/>
      <c r="R16" s="9"/>
      <c r="S16" s="9"/>
      <c r="T16" s="9"/>
      <c r="U16" s="9"/>
    </row>
    <row r="17" spans="1:21" x14ac:dyDescent="0.3">
      <c r="A17" s="9"/>
      <c r="B17" s="9"/>
      <c r="C17" s="9"/>
      <c r="D17" s="9"/>
      <c r="E17" s="9"/>
      <c r="F17" s="9"/>
      <c r="G17" s="9"/>
      <c r="H17" s="9"/>
      <c r="I17" s="9"/>
      <c r="J17" s="9"/>
      <c r="K17" s="9"/>
      <c r="L17" s="9"/>
      <c r="M17" s="9"/>
      <c r="N17" s="9"/>
      <c r="O17" s="9"/>
      <c r="P17" s="9"/>
      <c r="Q17" s="9"/>
      <c r="R17" s="9"/>
      <c r="S17" s="9"/>
      <c r="T17" s="9"/>
      <c r="U17" s="9"/>
    </row>
    <row r="18" spans="1:21" x14ac:dyDescent="0.3">
      <c r="A18" s="9"/>
      <c r="B18" s="9"/>
      <c r="C18" s="9"/>
      <c r="D18" s="9"/>
      <c r="E18" s="9"/>
      <c r="F18" s="9"/>
      <c r="G18" s="9"/>
      <c r="H18" s="9"/>
      <c r="I18" s="9"/>
      <c r="J18" s="9"/>
      <c r="K18" s="9"/>
      <c r="L18" s="9"/>
      <c r="M18" s="9"/>
      <c r="N18" s="9"/>
      <c r="O18" s="9"/>
      <c r="P18" s="9"/>
      <c r="Q18" s="9"/>
      <c r="R18" s="9"/>
      <c r="S18" s="9"/>
      <c r="T18" s="9"/>
      <c r="U18" s="9"/>
    </row>
    <row r="19" spans="1:21" x14ac:dyDescent="0.3">
      <c r="A19" s="9"/>
      <c r="B19" s="9"/>
      <c r="C19" s="9"/>
      <c r="D19" s="9"/>
      <c r="E19" s="9"/>
      <c r="F19" s="9"/>
      <c r="G19" s="9"/>
      <c r="H19" s="9"/>
      <c r="I19" s="9"/>
      <c r="J19" s="9"/>
      <c r="K19" s="9"/>
      <c r="L19" s="9"/>
      <c r="M19" s="9"/>
      <c r="N19" s="9"/>
      <c r="O19" s="9"/>
      <c r="P19" s="9"/>
      <c r="Q19" s="9"/>
      <c r="R19" s="9"/>
      <c r="S19" s="9"/>
      <c r="T19" s="9"/>
      <c r="U19" s="9"/>
    </row>
    <row r="20" spans="1:21" x14ac:dyDescent="0.3">
      <c r="A20" s="9"/>
      <c r="B20" s="9"/>
      <c r="C20" s="9"/>
      <c r="D20" s="9"/>
      <c r="E20" s="9"/>
      <c r="F20" s="9"/>
      <c r="G20" s="9"/>
      <c r="H20" s="9"/>
      <c r="I20" s="9"/>
      <c r="J20" s="9"/>
      <c r="K20" s="9"/>
      <c r="L20" s="9"/>
      <c r="M20" s="9"/>
      <c r="N20" s="9"/>
      <c r="O20" s="9"/>
      <c r="P20" s="9"/>
      <c r="Q20" s="9"/>
      <c r="R20" s="9"/>
      <c r="S20" s="9"/>
      <c r="T20" s="9"/>
      <c r="U20" s="9"/>
    </row>
    <row r="21" spans="1:21" x14ac:dyDescent="0.3">
      <c r="A21" s="9"/>
      <c r="B21" s="9"/>
      <c r="C21" s="9"/>
      <c r="D21" s="9"/>
      <c r="E21" s="9"/>
      <c r="F21" s="9"/>
      <c r="G21" s="9"/>
      <c r="H21" s="9"/>
      <c r="I21" s="9"/>
      <c r="J21" s="9"/>
      <c r="K21" s="9"/>
      <c r="L21" s="9"/>
      <c r="M21" s="9"/>
      <c r="N21" s="9"/>
      <c r="O21" s="9"/>
      <c r="P21" s="9"/>
      <c r="Q21" s="9"/>
      <c r="R21" s="9"/>
      <c r="S21" s="9"/>
      <c r="T21" s="9"/>
      <c r="U21" s="9"/>
    </row>
    <row r="22" spans="1:21" x14ac:dyDescent="0.3">
      <c r="A22" s="9"/>
      <c r="B22" s="9"/>
      <c r="C22" s="9"/>
      <c r="D22" s="9"/>
      <c r="E22" s="9"/>
      <c r="F22" s="9"/>
      <c r="G22" s="9"/>
      <c r="H22" s="9"/>
      <c r="I22" s="9"/>
      <c r="J22" s="9"/>
      <c r="K22" s="9"/>
      <c r="L22" s="9"/>
      <c r="M22" s="9"/>
      <c r="N22" s="9"/>
      <c r="O22" s="9"/>
      <c r="P22" s="9"/>
      <c r="Q22" s="9"/>
      <c r="R22" s="9"/>
      <c r="S22" s="9"/>
      <c r="T22" s="9"/>
      <c r="U22" s="9"/>
    </row>
    <row r="23" spans="1:21" x14ac:dyDescent="0.3">
      <c r="A23" s="9"/>
      <c r="B23" s="9"/>
      <c r="C23" s="9"/>
      <c r="D23" s="9"/>
      <c r="E23" s="9"/>
      <c r="F23" s="9"/>
      <c r="G23" s="9"/>
      <c r="H23" s="9"/>
      <c r="I23" s="9"/>
      <c r="J23" s="9"/>
      <c r="K23" s="9"/>
      <c r="L23" s="9"/>
      <c r="M23" s="9"/>
      <c r="N23" s="9"/>
      <c r="O23" s="9"/>
      <c r="P23" s="9"/>
      <c r="Q23" s="9"/>
      <c r="R23" s="9"/>
      <c r="S23" s="9"/>
      <c r="T23" s="9"/>
      <c r="U23" s="9"/>
    </row>
    <row r="24" spans="1:21" x14ac:dyDescent="0.3">
      <c r="A24" s="9"/>
      <c r="B24" s="9"/>
      <c r="C24" s="9"/>
      <c r="D24" s="9"/>
      <c r="E24" s="9"/>
      <c r="F24" s="9"/>
      <c r="G24" s="9"/>
      <c r="H24" s="9"/>
      <c r="I24" s="9"/>
      <c r="J24" s="9"/>
      <c r="K24" s="9"/>
      <c r="L24" s="9"/>
      <c r="M24" s="9"/>
      <c r="N24" s="9"/>
      <c r="O24" s="9"/>
      <c r="P24" s="9"/>
      <c r="Q24" s="9"/>
      <c r="R24" s="9"/>
      <c r="S24" s="9"/>
      <c r="T24" s="9"/>
      <c r="U24" s="9"/>
    </row>
    <row r="25" spans="1:21" x14ac:dyDescent="0.3">
      <c r="A25" s="9"/>
      <c r="B25" s="9"/>
      <c r="C25" s="9"/>
      <c r="D25" s="9"/>
      <c r="E25" s="9"/>
      <c r="F25" s="9"/>
      <c r="G25" s="9"/>
      <c r="H25" s="9"/>
      <c r="I25" s="9"/>
      <c r="J25" s="9"/>
      <c r="K25" s="9"/>
      <c r="L25" s="9"/>
      <c r="M25" s="9"/>
      <c r="N25" s="9"/>
      <c r="O25" s="9"/>
      <c r="P25" s="9"/>
      <c r="Q25" s="9"/>
      <c r="R25" s="9"/>
      <c r="S25" s="9"/>
      <c r="T25" s="9"/>
      <c r="U25" s="9"/>
    </row>
    <row r="26" spans="1:21" x14ac:dyDescent="0.3">
      <c r="A26" s="9"/>
      <c r="B26" s="9"/>
      <c r="C26" s="9"/>
      <c r="D26" s="9"/>
      <c r="E26" s="9"/>
      <c r="F26" s="9"/>
      <c r="G26" s="9"/>
      <c r="H26" s="9"/>
      <c r="I26" s="9"/>
      <c r="J26" s="9"/>
      <c r="K26" s="9"/>
      <c r="L26" s="9"/>
      <c r="M26" s="9"/>
      <c r="N26" s="9"/>
      <c r="O26" s="9"/>
      <c r="P26" s="9"/>
      <c r="Q26" s="9"/>
      <c r="R26" s="9"/>
      <c r="S26" s="9"/>
      <c r="T26" s="9"/>
      <c r="U26" s="9"/>
    </row>
    <row r="27" spans="1:21" ht="27.6" x14ac:dyDescent="0.45">
      <c r="A27" s="9"/>
      <c r="B27" s="9"/>
      <c r="C27" s="9"/>
      <c r="D27" s="9"/>
      <c r="E27" s="9"/>
      <c r="F27" s="9"/>
      <c r="G27" s="9"/>
      <c r="H27" s="9"/>
      <c r="I27" s="9"/>
      <c r="J27" s="9"/>
      <c r="K27" s="9"/>
      <c r="L27" s="9"/>
      <c r="M27" s="9"/>
      <c r="N27" s="9"/>
      <c r="O27" s="21" t="s">
        <v>634</v>
      </c>
      <c r="P27" s="21"/>
      <c r="Q27" s="21"/>
      <c r="R27" s="21"/>
      <c r="S27" s="21"/>
      <c r="T27" s="21"/>
      <c r="U27" s="21"/>
    </row>
    <row r="28" spans="1:21" x14ac:dyDescent="0.3">
      <c r="A28" s="9"/>
      <c r="B28" s="9"/>
      <c r="C28" s="9"/>
      <c r="D28" s="9"/>
      <c r="E28" s="9"/>
      <c r="F28" s="9"/>
      <c r="G28" s="9"/>
      <c r="H28" s="9"/>
      <c r="I28" s="9"/>
      <c r="J28" s="9"/>
      <c r="K28" s="9"/>
      <c r="L28" s="9"/>
      <c r="M28" s="9"/>
      <c r="N28" s="9"/>
      <c r="O28" s="9"/>
      <c r="P28" s="9"/>
      <c r="Q28" s="9"/>
      <c r="R28" s="9"/>
      <c r="S28" s="9"/>
      <c r="T28" s="9"/>
      <c r="U28" s="9"/>
    </row>
    <row r="29" spans="1:21" ht="21" x14ac:dyDescent="0.3">
      <c r="A29" s="9"/>
      <c r="B29" s="9"/>
      <c r="C29" s="9"/>
      <c r="D29" s="9"/>
      <c r="E29" s="9"/>
      <c r="F29" s="9"/>
      <c r="G29" s="9"/>
      <c r="H29" s="9"/>
      <c r="I29" s="9"/>
      <c r="J29" s="9"/>
      <c r="K29" s="9"/>
      <c r="L29" s="9"/>
      <c r="M29" s="9"/>
      <c r="N29" s="9"/>
      <c r="O29" s="18" t="s">
        <v>637</v>
      </c>
      <c r="P29" s="18"/>
      <c r="Q29" s="18"/>
      <c r="R29" s="18"/>
      <c r="S29" s="18"/>
      <c r="T29" s="18"/>
      <c r="U29" s="18"/>
    </row>
    <row r="30" spans="1:21" ht="21" x14ac:dyDescent="0.4">
      <c r="A30" s="9"/>
      <c r="B30" s="9"/>
      <c r="C30" s="9"/>
      <c r="D30" s="9"/>
      <c r="E30" s="9"/>
      <c r="F30" s="9"/>
      <c r="G30" s="9"/>
      <c r="H30" s="9"/>
      <c r="I30" s="9"/>
      <c r="J30" s="9"/>
      <c r="K30" s="9"/>
      <c r="L30" s="9"/>
      <c r="M30" s="9"/>
      <c r="N30" s="9"/>
      <c r="O30" s="16" t="s">
        <v>27</v>
      </c>
      <c r="P30" s="16"/>
      <c r="Q30" s="16"/>
      <c r="R30" s="16"/>
      <c r="S30" s="16"/>
      <c r="T30" s="16"/>
      <c r="U30" s="16"/>
    </row>
    <row r="31" spans="1:21" x14ac:dyDescent="0.3">
      <c r="A31" s="9"/>
      <c r="B31" s="9"/>
      <c r="C31" s="9"/>
      <c r="D31" s="9"/>
      <c r="E31" s="9"/>
      <c r="F31" s="9"/>
      <c r="G31" s="9"/>
      <c r="H31" s="9"/>
      <c r="I31" s="9"/>
      <c r="J31" s="9"/>
      <c r="K31" s="9"/>
      <c r="L31" s="9"/>
      <c r="M31" s="9"/>
      <c r="N31" s="9"/>
      <c r="O31" s="9"/>
      <c r="P31" s="9"/>
      <c r="Q31" s="9"/>
      <c r="R31" s="9"/>
      <c r="S31" s="9"/>
      <c r="T31" s="9"/>
      <c r="U31" s="9"/>
    </row>
    <row r="32" spans="1:21" ht="21" x14ac:dyDescent="0.4">
      <c r="A32" s="9"/>
      <c r="B32" s="9"/>
      <c r="C32" s="9"/>
      <c r="D32" s="9"/>
      <c r="E32" s="9"/>
      <c r="F32" s="9"/>
      <c r="G32" s="9"/>
      <c r="H32" s="9"/>
      <c r="I32" s="9"/>
      <c r="J32" s="9"/>
      <c r="K32" s="9"/>
      <c r="L32" s="9"/>
      <c r="M32" s="9"/>
      <c r="N32" s="9"/>
      <c r="O32" s="17" t="s">
        <v>638</v>
      </c>
      <c r="P32" s="17"/>
      <c r="Q32" s="17"/>
      <c r="R32" s="17"/>
      <c r="S32" s="17"/>
      <c r="T32" s="17"/>
      <c r="U32" s="17"/>
    </row>
    <row r="33" spans="1:21" ht="21" x14ac:dyDescent="0.4">
      <c r="A33" s="9"/>
      <c r="B33" s="9"/>
      <c r="C33" s="9"/>
      <c r="D33" s="9"/>
      <c r="E33" s="9"/>
      <c r="F33" s="9"/>
      <c r="G33" s="9"/>
      <c r="H33" s="9"/>
      <c r="I33" s="9"/>
      <c r="J33" s="9"/>
      <c r="K33" s="9"/>
      <c r="L33" s="9"/>
      <c r="M33" s="9"/>
      <c r="N33" s="9"/>
      <c r="O33" s="16" t="s">
        <v>65</v>
      </c>
      <c r="P33" s="16"/>
      <c r="Q33" s="16"/>
      <c r="R33" s="16"/>
      <c r="S33" s="16"/>
      <c r="T33" s="16"/>
      <c r="U33" s="16"/>
    </row>
    <row r="34" spans="1:21" x14ac:dyDescent="0.3">
      <c r="A34" s="9"/>
      <c r="B34" s="9"/>
      <c r="C34" s="9"/>
      <c r="D34" s="9"/>
      <c r="E34" s="9"/>
      <c r="F34" s="9"/>
      <c r="G34" s="9"/>
      <c r="H34" s="9"/>
      <c r="I34" s="9"/>
      <c r="J34" s="9"/>
      <c r="K34" s="9"/>
      <c r="L34" s="9"/>
      <c r="M34" s="9"/>
      <c r="N34" s="9"/>
      <c r="O34" s="9"/>
      <c r="P34" s="9"/>
      <c r="Q34" s="9"/>
      <c r="R34" s="9"/>
      <c r="S34" s="9"/>
      <c r="T34" s="9"/>
      <c r="U34" s="9"/>
    </row>
    <row r="35" spans="1:21" ht="21" x14ac:dyDescent="0.4">
      <c r="A35" s="9"/>
      <c r="B35" s="9"/>
      <c r="C35" s="9"/>
      <c r="D35" s="9"/>
      <c r="E35" s="9"/>
      <c r="F35" s="9"/>
      <c r="G35" s="9"/>
      <c r="H35" s="9"/>
      <c r="I35" s="9"/>
      <c r="J35" s="9"/>
      <c r="K35" s="9"/>
      <c r="L35" s="9"/>
      <c r="M35" s="9"/>
      <c r="N35" s="9"/>
      <c r="O35" s="17" t="s">
        <v>635</v>
      </c>
      <c r="P35" s="17"/>
      <c r="Q35" s="17"/>
      <c r="R35" s="17"/>
      <c r="S35" s="17"/>
      <c r="T35" s="17"/>
      <c r="U35" s="17"/>
    </row>
    <row r="36" spans="1:21" ht="21" x14ac:dyDescent="0.4">
      <c r="A36" s="9"/>
      <c r="B36" s="9"/>
      <c r="C36" s="9"/>
      <c r="D36" s="9"/>
      <c r="E36" s="9"/>
      <c r="F36" s="9"/>
      <c r="G36" s="9"/>
      <c r="H36" s="9"/>
      <c r="I36" s="9"/>
      <c r="J36" s="9"/>
      <c r="K36" s="9"/>
      <c r="L36" s="9"/>
      <c r="M36" s="9"/>
      <c r="N36" s="9"/>
      <c r="O36" s="16" t="s">
        <v>28</v>
      </c>
      <c r="P36" s="16"/>
      <c r="Q36" s="16"/>
      <c r="R36" s="16"/>
      <c r="S36" s="16"/>
      <c r="T36" s="16"/>
      <c r="U36" s="16"/>
    </row>
    <row r="37" spans="1:21" x14ac:dyDescent="0.3">
      <c r="A37" s="9"/>
      <c r="B37" s="9"/>
      <c r="C37" s="9"/>
      <c r="D37" s="9"/>
      <c r="E37" s="9"/>
      <c r="F37" s="9"/>
      <c r="G37" s="9"/>
      <c r="H37" s="9"/>
      <c r="I37" s="9"/>
      <c r="J37" s="9"/>
      <c r="K37" s="9"/>
      <c r="L37" s="9"/>
      <c r="M37" s="9"/>
      <c r="N37" s="9"/>
      <c r="O37" s="9"/>
      <c r="P37" s="9"/>
      <c r="Q37" s="9"/>
      <c r="R37" s="9"/>
      <c r="S37" s="9"/>
      <c r="T37" s="9"/>
      <c r="U37" s="9"/>
    </row>
    <row r="38" spans="1:21" ht="21" x14ac:dyDescent="0.4">
      <c r="A38" s="9"/>
      <c r="B38" s="9"/>
      <c r="C38" s="9"/>
      <c r="D38" s="9"/>
      <c r="E38" s="9"/>
      <c r="F38" s="9"/>
      <c r="G38" s="9"/>
      <c r="H38" s="9"/>
      <c r="I38" s="9"/>
      <c r="J38" s="9"/>
      <c r="K38" s="9"/>
      <c r="L38" s="9"/>
      <c r="M38" s="9"/>
      <c r="N38" s="9"/>
      <c r="O38" s="17" t="s">
        <v>636</v>
      </c>
      <c r="P38" s="17"/>
      <c r="Q38" s="17"/>
      <c r="R38" s="17"/>
      <c r="S38" s="17"/>
      <c r="T38" s="17"/>
      <c r="U38" s="17"/>
    </row>
    <row r="39" spans="1:21" ht="21" x14ac:dyDescent="0.4">
      <c r="A39" s="9"/>
      <c r="B39" s="9"/>
      <c r="C39" s="9"/>
      <c r="D39" s="9"/>
      <c r="E39" s="9"/>
      <c r="F39" s="9"/>
      <c r="G39" s="9"/>
      <c r="H39" s="9"/>
      <c r="I39" s="9"/>
      <c r="J39" s="9"/>
      <c r="K39" s="9"/>
      <c r="L39" s="9"/>
      <c r="M39" s="9"/>
      <c r="N39" s="9"/>
      <c r="O39" s="16" t="s">
        <v>21</v>
      </c>
      <c r="P39" s="16"/>
      <c r="Q39" s="16"/>
      <c r="R39" s="16"/>
      <c r="S39" s="16"/>
      <c r="T39" s="16"/>
      <c r="U39" s="16"/>
    </row>
    <row r="40" spans="1:21" x14ac:dyDescent="0.3">
      <c r="A40" s="9"/>
      <c r="B40" s="9"/>
      <c r="C40" s="9"/>
      <c r="D40" s="9"/>
      <c r="E40" s="9"/>
      <c r="F40" s="9"/>
      <c r="G40" s="9"/>
      <c r="H40" s="9"/>
      <c r="I40" s="9"/>
      <c r="J40" s="9"/>
      <c r="K40" s="9"/>
      <c r="L40" s="9"/>
      <c r="M40" s="9"/>
      <c r="N40" s="9"/>
      <c r="O40" s="9"/>
      <c r="P40" s="9"/>
      <c r="Q40" s="9"/>
      <c r="R40" s="9"/>
      <c r="S40" s="9"/>
      <c r="T40" s="9"/>
      <c r="U40" s="9"/>
    </row>
    <row r="41" spans="1:21" x14ac:dyDescent="0.3">
      <c r="A41" s="9"/>
      <c r="B41" s="9"/>
      <c r="C41" s="9"/>
      <c r="D41" s="9"/>
      <c r="E41" s="9"/>
      <c r="F41" s="9"/>
      <c r="G41" s="9"/>
      <c r="H41" s="9"/>
      <c r="I41" s="9"/>
      <c r="J41" s="9"/>
      <c r="K41" s="9"/>
      <c r="L41" s="9"/>
      <c r="M41" s="9"/>
      <c r="N41" s="9"/>
      <c r="O41" s="9"/>
      <c r="P41" s="9"/>
      <c r="Q41" s="9"/>
      <c r="R41" s="9"/>
      <c r="S41" s="9"/>
      <c r="T41" s="9"/>
      <c r="U41" s="9"/>
    </row>
    <row r="42" spans="1:21" ht="16.2" customHeight="1" x14ac:dyDescent="0.3">
      <c r="A42" s="9"/>
      <c r="B42" s="9"/>
      <c r="C42" s="9"/>
      <c r="D42" s="9"/>
      <c r="E42" s="9"/>
      <c r="F42" s="9"/>
      <c r="G42" s="9"/>
      <c r="H42" s="9"/>
      <c r="I42" s="9"/>
      <c r="J42" s="9"/>
      <c r="K42" s="9"/>
      <c r="L42" s="9"/>
      <c r="M42" s="9"/>
      <c r="N42" s="9"/>
      <c r="O42" s="9"/>
      <c r="P42" s="9"/>
      <c r="Q42" s="9"/>
      <c r="R42" s="9"/>
      <c r="S42" s="9"/>
      <c r="T42" s="9"/>
      <c r="U42" s="9"/>
    </row>
    <row r="43" spans="1:21" ht="22.2" customHeight="1" x14ac:dyDescent="0.3">
      <c r="A43" s="9"/>
      <c r="B43" s="9"/>
      <c r="C43" s="9"/>
      <c r="D43" s="9"/>
      <c r="E43" s="9"/>
      <c r="F43" s="9"/>
      <c r="G43" s="9"/>
      <c r="H43" s="9"/>
      <c r="I43" s="9"/>
      <c r="J43" s="9"/>
      <c r="K43" s="9"/>
      <c r="L43" s="9"/>
      <c r="M43" s="9"/>
      <c r="N43" s="9"/>
      <c r="O43" s="9"/>
      <c r="P43" s="9"/>
      <c r="Q43" s="9"/>
      <c r="R43" s="9"/>
      <c r="S43" s="9"/>
      <c r="T43" s="9"/>
      <c r="U43" s="9"/>
    </row>
    <row r="44" spans="1:21" x14ac:dyDescent="0.3">
      <c r="A44" s="9"/>
      <c r="B44" s="9"/>
      <c r="C44" s="9"/>
      <c r="D44" s="9"/>
      <c r="E44" s="9"/>
      <c r="F44" s="9"/>
      <c r="G44" s="9"/>
      <c r="H44" s="9"/>
      <c r="I44" s="9"/>
      <c r="J44" s="9"/>
      <c r="K44" s="9"/>
      <c r="L44" s="9"/>
      <c r="M44" s="9"/>
      <c r="N44" s="9"/>
      <c r="O44" s="9"/>
      <c r="P44" s="9"/>
      <c r="Q44" s="9"/>
      <c r="R44" s="9"/>
      <c r="S44" s="9"/>
      <c r="T44" s="9"/>
      <c r="U44" s="9"/>
    </row>
    <row r="45" spans="1:21" x14ac:dyDescent="0.3">
      <c r="A45" s="9"/>
      <c r="B45" s="9"/>
      <c r="C45" s="9"/>
      <c r="D45" s="9"/>
      <c r="E45" s="9"/>
      <c r="F45" s="9"/>
      <c r="G45" s="9"/>
      <c r="H45" s="9"/>
      <c r="I45" s="9"/>
      <c r="J45" s="9"/>
      <c r="K45" s="9"/>
      <c r="L45" s="9"/>
      <c r="M45" s="9"/>
      <c r="N45" s="9"/>
      <c r="O45" s="9"/>
      <c r="P45" s="9"/>
      <c r="Q45" s="9"/>
      <c r="R45" s="9"/>
      <c r="S45" s="9"/>
      <c r="T45" s="9"/>
      <c r="U45" s="9"/>
    </row>
    <row r="46" spans="1:21" x14ac:dyDescent="0.3">
      <c r="A46" s="9"/>
      <c r="B46" s="9"/>
      <c r="C46" s="9"/>
      <c r="D46" s="9"/>
      <c r="E46" s="9"/>
      <c r="F46" s="9"/>
      <c r="G46" s="9"/>
      <c r="H46" s="9"/>
      <c r="I46" s="9"/>
      <c r="J46" s="9"/>
      <c r="K46" s="9"/>
      <c r="L46" s="9"/>
      <c r="M46" s="9"/>
      <c r="N46" s="9"/>
      <c r="O46" s="9"/>
      <c r="P46" s="9"/>
      <c r="Q46" s="9"/>
      <c r="R46" s="9"/>
      <c r="S46" s="9"/>
      <c r="T46" s="9"/>
      <c r="U46" s="9"/>
    </row>
    <row r="47" spans="1:21" x14ac:dyDescent="0.3">
      <c r="A47" s="9"/>
      <c r="B47" s="9"/>
      <c r="C47" s="9"/>
      <c r="D47" s="9"/>
      <c r="E47" s="9"/>
      <c r="F47" s="9"/>
      <c r="G47" s="9"/>
      <c r="H47" s="9"/>
      <c r="I47" s="9"/>
      <c r="J47" s="9"/>
      <c r="K47" s="9"/>
      <c r="L47" s="9"/>
      <c r="M47" s="9"/>
      <c r="N47" s="9"/>
      <c r="O47" s="9"/>
      <c r="P47" s="9"/>
      <c r="Q47" s="9"/>
      <c r="R47" s="9"/>
      <c r="S47" s="9"/>
      <c r="T47" s="9"/>
      <c r="U47" s="9"/>
    </row>
    <row r="48" spans="1:21" x14ac:dyDescent="0.3">
      <c r="A48" s="9"/>
      <c r="B48" s="9"/>
      <c r="C48" s="9"/>
      <c r="D48" s="9"/>
      <c r="E48" s="9"/>
      <c r="F48" s="9"/>
      <c r="G48" s="9"/>
      <c r="H48" s="9"/>
      <c r="I48" s="9"/>
      <c r="J48" s="9"/>
      <c r="K48" s="9"/>
      <c r="L48" s="9"/>
      <c r="M48" s="9"/>
      <c r="N48" s="9"/>
      <c r="O48" s="9"/>
      <c r="P48" s="9"/>
      <c r="Q48" s="9"/>
      <c r="R48" s="9"/>
      <c r="S48" s="9"/>
      <c r="T48" s="9"/>
      <c r="U48" s="9"/>
    </row>
    <row r="49" spans="1:21" x14ac:dyDescent="0.3">
      <c r="A49" s="9"/>
      <c r="B49" s="9"/>
      <c r="C49" s="9"/>
      <c r="D49" s="9"/>
      <c r="E49" s="9"/>
      <c r="F49" s="9"/>
      <c r="G49" s="9"/>
      <c r="H49" s="9"/>
      <c r="I49" s="9"/>
      <c r="J49" s="9"/>
      <c r="K49" s="9"/>
      <c r="L49" s="9"/>
      <c r="M49" s="9"/>
      <c r="N49" s="9"/>
      <c r="O49" s="9"/>
      <c r="P49" s="9"/>
      <c r="Q49" s="9"/>
      <c r="R49" s="9"/>
      <c r="S49" s="9"/>
      <c r="T49" s="9"/>
      <c r="U49" s="9"/>
    </row>
    <row r="50" spans="1:21" x14ac:dyDescent="0.3">
      <c r="A50" s="9"/>
      <c r="B50" s="9"/>
      <c r="C50" s="9"/>
      <c r="D50" s="9"/>
      <c r="E50" s="9"/>
      <c r="F50" s="9"/>
      <c r="G50" s="9"/>
      <c r="H50" s="9"/>
      <c r="I50" s="9"/>
      <c r="J50" s="9"/>
      <c r="K50" s="9"/>
      <c r="L50" s="9"/>
      <c r="M50" s="9"/>
      <c r="N50" s="9"/>
      <c r="O50" s="9"/>
      <c r="P50" s="9"/>
      <c r="Q50" s="9"/>
      <c r="R50" s="9"/>
      <c r="S50" s="9"/>
      <c r="T50" s="9"/>
      <c r="U50" s="9"/>
    </row>
    <row r="51" spans="1:21" x14ac:dyDescent="0.3">
      <c r="A51" s="9"/>
      <c r="B51" s="9"/>
      <c r="C51" s="9"/>
      <c r="D51" s="9"/>
      <c r="E51" s="9"/>
      <c r="F51" s="9"/>
      <c r="G51" s="9"/>
      <c r="H51" s="9"/>
      <c r="I51" s="9"/>
      <c r="J51" s="9"/>
      <c r="K51" s="9"/>
      <c r="L51" s="9"/>
      <c r="M51" s="9"/>
      <c r="N51" s="9"/>
      <c r="O51" s="9"/>
      <c r="P51" s="9"/>
      <c r="Q51" s="9"/>
      <c r="R51" s="9"/>
      <c r="S51" s="9"/>
      <c r="T51" s="9"/>
      <c r="U51" s="9"/>
    </row>
    <row r="52" spans="1:21" x14ac:dyDescent="0.3">
      <c r="A52" s="9"/>
      <c r="B52" s="9"/>
      <c r="C52" s="9"/>
      <c r="D52" s="9"/>
      <c r="E52" s="9"/>
      <c r="F52" s="9"/>
      <c r="G52" s="9"/>
      <c r="H52" s="9"/>
      <c r="I52" s="9"/>
      <c r="J52" s="9"/>
      <c r="K52" s="9"/>
      <c r="L52" s="9"/>
      <c r="M52" s="9"/>
      <c r="N52" s="9"/>
      <c r="O52" s="9"/>
      <c r="P52" s="9"/>
      <c r="Q52" s="9"/>
      <c r="R52" s="9"/>
      <c r="S52" s="9"/>
      <c r="T52" s="9"/>
      <c r="U52" s="9"/>
    </row>
    <row r="53" spans="1:21" x14ac:dyDescent="0.3">
      <c r="A53" s="9"/>
      <c r="B53" s="9"/>
      <c r="C53" s="9"/>
      <c r="D53" s="9"/>
      <c r="E53" s="9"/>
      <c r="F53" s="9"/>
      <c r="G53" s="9"/>
      <c r="H53" s="9"/>
      <c r="I53" s="9"/>
      <c r="J53" s="9"/>
      <c r="K53" s="9"/>
      <c r="L53" s="9"/>
      <c r="M53" s="9"/>
      <c r="N53" s="9"/>
      <c r="O53" s="9"/>
      <c r="P53" s="9"/>
      <c r="Q53" s="9"/>
      <c r="R53" s="9"/>
      <c r="S53" s="9"/>
      <c r="T53" s="9"/>
      <c r="U53" s="9"/>
    </row>
    <row r="54" spans="1:21" x14ac:dyDescent="0.3">
      <c r="A54" s="9"/>
      <c r="B54" s="9"/>
      <c r="C54" s="9"/>
      <c r="D54" s="9"/>
      <c r="E54" s="9"/>
      <c r="F54" s="9"/>
      <c r="G54" s="9"/>
      <c r="H54" s="9"/>
      <c r="I54" s="9"/>
      <c r="J54" s="9"/>
      <c r="K54" s="9"/>
      <c r="L54" s="9"/>
      <c r="M54" s="9"/>
      <c r="N54" s="9"/>
      <c r="O54" s="9"/>
      <c r="P54" s="9"/>
      <c r="Q54" s="9"/>
      <c r="R54" s="9"/>
      <c r="S54" s="9"/>
      <c r="T54" s="9"/>
      <c r="U54" s="9"/>
    </row>
    <row r="55" spans="1:21" x14ac:dyDescent="0.3">
      <c r="A55" s="9"/>
      <c r="B55" s="9"/>
      <c r="C55" s="9"/>
      <c r="D55" s="9"/>
      <c r="E55" s="9"/>
      <c r="F55" s="9"/>
      <c r="G55" s="9"/>
      <c r="H55" s="9"/>
      <c r="I55" s="9"/>
      <c r="J55" s="9"/>
      <c r="K55" s="9"/>
      <c r="L55" s="9"/>
      <c r="M55" s="9"/>
      <c r="N55" s="9"/>
      <c r="O55" s="9"/>
      <c r="P55" s="9"/>
      <c r="Q55" s="9"/>
      <c r="R55" s="9"/>
      <c r="S55" s="9"/>
      <c r="T55" s="9"/>
      <c r="U55" s="9"/>
    </row>
    <row r="56" spans="1:21" x14ac:dyDescent="0.3">
      <c r="A56" s="9"/>
      <c r="B56" s="9"/>
      <c r="C56" s="9"/>
      <c r="D56" s="9"/>
      <c r="E56" s="9"/>
      <c r="F56" s="9"/>
      <c r="G56" s="9"/>
      <c r="H56" s="9"/>
      <c r="I56" s="9"/>
      <c r="J56" s="9"/>
      <c r="K56" s="9"/>
      <c r="L56" s="9"/>
      <c r="M56" s="9"/>
      <c r="N56" s="9"/>
      <c r="O56" s="9"/>
      <c r="P56" s="9"/>
      <c r="Q56" s="9"/>
      <c r="R56" s="9"/>
      <c r="S56" s="9"/>
      <c r="T56" s="9"/>
      <c r="U56" s="9"/>
    </row>
  </sheetData>
  <mergeCells count="7">
    <mergeCell ref="A1:U1"/>
    <mergeCell ref="A2:U2"/>
    <mergeCell ref="O27:U27"/>
    <mergeCell ref="F4:G4"/>
    <mergeCell ref="F5:G5"/>
    <mergeCell ref="I4:J4"/>
    <mergeCell ref="I5:J5"/>
  </mergeCells>
  <printOptions horizontalCentered="1" verticalCentered="1"/>
  <pageMargins left="0.31496062992125984" right="0.31496062992125984" top="0.31496062992125984" bottom="0.31496062992125984" header="0" footer="0"/>
  <pageSetup paperSize="161"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Category performance</vt:lpstr>
      <vt:lpstr>Region wise Sales&amp; profits</vt:lpstr>
      <vt:lpstr>Top 10 products</vt:lpstr>
      <vt:lpstr>Payment mode</vt:lpstr>
      <vt:lpstr>Sales_Data</vt:lpstr>
      <vt:lpstr>Sheet6</vt:lpstr>
      <vt:lpstr>Monthly_Sales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Sudarshan Deshmukh</cp:lastModifiedBy>
  <cp:lastPrinted>2026-08-25T08:35:02Z</cp:lastPrinted>
  <dcterms:created xsi:type="dcterms:W3CDTF">2026-08-24T13:43:45Z</dcterms:created>
  <dcterms:modified xsi:type="dcterms:W3CDTF">2026-08-25T12:50:09Z</dcterms:modified>
</cp:coreProperties>
</file>